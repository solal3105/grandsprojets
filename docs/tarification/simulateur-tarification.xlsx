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au de bord" sheetId="1" state="visible" r:id="rId1"/>
    <sheet xmlns:r="http://schemas.openxmlformats.org/officeDocument/2006/relationships" name="Lisez-moi" sheetId="2" state="visible" r:id="rId2"/>
    <sheet xmlns:r="http://schemas.openxmlformats.org/officeDocument/2006/relationships" name="Réglages" sheetId="3" state="visible" r:id="rId3"/>
    <sheet xmlns:r="http://schemas.openxmlformats.org/officeDocument/2006/relationships" name="Grille" sheetId="4" state="visible" r:id="rId4"/>
    <sheet xmlns:r="http://schemas.openxmlformats.org/officeDocument/2006/relationships" name="Scénarios" sheetId="5" state="visible" r:id="rId5"/>
    <sheet xmlns:r="http://schemas.openxmlformats.org/officeDocument/2006/relationships" name="Calculs" sheetId="6" state="hidden" r:id="rId6"/>
  </sheets>
  <definedNames>
    <definedName name="Population_ancre">'Réglages'!$D$9</definedName>
    <definedName name="Prix_ancre">'Réglages'!$D$10</definedName>
    <definedName name="Exposant">'Réglages'!$D$11</definedName>
    <definedName name="Population_minimum">'Réglages'!$D$12</definedName>
    <definedName name="Population_maximum">'Réglages'!$D$13</definedName>
    <definedName name="Poids_carte">'Réglages'!$D$17</definedName>
    <definedName name="Poids_travaux">'Réglages'!$D$18</definedName>
    <definedName name="Poids_chantiers">'Réglages'!$D$19</definedName>
    <definedName name="Poids_participer">'Réglages'!$D$20</definedName>
    <definedName name="Poids_diagnostic">'Réglages'!$D$21</definedName>
    <definedName name="Chantiers_demi_poids_sous">'Réglages'!$D$25</definedName>
    <definedName name="Chantiers_plein_poids_des">'Réglages'!$D$26</definedName>
    <definedName name="Remise_par_module_ajoute">'Réglages'!$D$30</definedName>
    <definedName name="Remise_engagement_1">'Réglages'!$D$31</definedName>
    <definedName name="Remise_engagement_2">'Réglages'!$D$32</definedName>
    <definedName name="Remise_engagement_3">'Réglages'!$D$33</definedName>
    <definedName name="Remise_engagement_4">'Réglages'!$D$34</definedName>
    <definedName name="Table_engagements">'Réglages'!$A$31:$D$34</definedName>
    <definedName name="Mise_en_service_mois">'Réglages'!$D$38</definedName>
    <definedName name="Mise_en_service_offerte_sous">'Réglages'!$D$39</definedName>
    <definedName name="Fourchette_marge">'Réglages'!$D$43</definedName>
    <definedName name="Seuil_1">'Réglages'!$D$47</definedName>
    <definedName name="Seuil_2">'Réglages'!$D$48</definedName>
    <definedName name="Seuil_3">'Réglages'!$D$49</definedName>
  </definedNames>
  <calcPr calcId="124519" fullCalcOnLoad="1"/>
</workbook>
</file>

<file path=xl/styles.xml><?xml version="1.0" encoding="utf-8"?>
<styleSheet xmlns="http://schemas.openxmlformats.org/spreadsheetml/2006/main">
  <numFmts count="2">
    <numFmt numFmtId="164" formatCode="#,##0&quot; €&quot;"/>
    <numFmt numFmtId="165" formatCode="+#,##0&quot; €&quot;;-#,##0&quot; €&quot;;0&quot; €&quot;"/>
  </numFmts>
  <fonts count="13">
    <font>
      <name val="Calibri"/>
      <family val="2"/>
      <color theme="1"/>
      <sz val="11"/>
      <scheme val="minor"/>
    </font>
    <font>
      <name val="Calibri"/>
      <b val="1"/>
      <color rgb="00111111"/>
      <sz val="20"/>
    </font>
    <font>
      <name val="Calibri"/>
      <color rgb="006B7280"/>
      <sz val="11"/>
    </font>
    <font>
      <name val="Calibri"/>
      <b val="1"/>
      <color rgb="00111111"/>
      <sz val="12"/>
    </font>
    <font>
      <name val="Calibri"/>
      <color rgb="006B7280"/>
      <sz val="9"/>
    </font>
    <font>
      <name val="Calibri"/>
      <b val="1"/>
      <color rgb="00FFFFFF"/>
      <sz val="11"/>
    </font>
    <font>
      <name val="Calibri"/>
      <color rgb="00111111"/>
      <sz val="11"/>
    </font>
    <font>
      <name val="Calibri"/>
      <b val="1"/>
      <color rgb="00111111"/>
      <sz val="11"/>
    </font>
    <font>
      <name val="Calibri"/>
      <b val="1"/>
      <color rgb="00D1D5DB"/>
      <sz val="9"/>
    </font>
    <font>
      <name val="Calibri"/>
      <b val="1"/>
      <color rgb="00FFFFFF"/>
      <sz val="22"/>
    </font>
    <font>
      <name val="Calibri"/>
      <color rgb="00D1D5DB"/>
      <sz val="9"/>
    </font>
    <font>
      <name val="Calibri"/>
      <b val="1"/>
      <color rgb="006B7280"/>
      <sz val="9"/>
    </font>
    <font>
      <name val="Calibri"/>
      <b val="1"/>
      <color rgb="00111111"/>
      <sz val="22"/>
    </font>
  </fonts>
  <fills count="6">
    <fill>
      <patternFill/>
    </fill>
    <fill>
      <patternFill patternType="gray125"/>
    </fill>
    <fill>
      <patternFill patternType="solid">
        <fgColor rgb="00111111"/>
      </patternFill>
    </fill>
    <fill>
      <patternFill patternType="solid">
        <fgColor rgb="00F1F2F4"/>
      </patternFill>
    </fill>
    <fill>
      <patternFill patternType="solid">
        <fgColor rgb="00FFF4D6"/>
      </patternFill>
    </fill>
    <fill>
      <patternFill patternType="solid">
        <fgColor rgb="00FAFAFA"/>
      </patternFill>
    </fill>
  </fills>
  <borders count="10">
    <border>
      <left/>
      <right/>
      <top/>
      <bottom/>
      <diagonal/>
    </border>
    <border>
      <left style="thin">
        <color rgb="00E5E7EB"/>
      </left>
      <right style="thin">
        <color rgb="00E5E7EB"/>
      </right>
      <top style="thin">
        <color rgb="00E5E7EB"/>
      </top>
      <bottom style="thin">
        <color rgb="00E5E7EB"/>
      </bottom>
    </border>
    <border>
      <left style="medium">
        <color rgb="00E5E7EB"/>
      </left>
      <right style="medium">
        <color rgb="00E5E7EB"/>
      </right>
      <top style="medium">
        <color rgb="00E5E7EB"/>
      </top>
      <bottom style="medium">
        <color rgb="00E5E7EB"/>
      </bottom>
    </border>
    <border>
      <left/>
      <right/>
      <top style="medium">
        <color rgb="00E5E7EB"/>
      </top>
      <bottom/>
      <diagonal/>
    </border>
    <border>
      <left/>
      <right style="medium">
        <color rgb="00E5E7EB"/>
      </right>
      <top style="medium">
        <color rgb="00E5E7EB"/>
      </top>
      <bottom/>
      <diagonal/>
    </border>
    <border>
      <left/>
      <right style="medium">
        <color rgb="00E5E7EB"/>
      </right>
      <top style="medium">
        <color rgb="00E5E7EB"/>
      </top>
      <bottom style="medium">
        <color rgb="00E5E7EB"/>
      </bottom>
      <diagonal/>
    </border>
    <border>
      <left/>
      <right/>
      <top style="thin">
        <color rgb="00E5E7EB"/>
      </top>
      <bottom/>
      <diagonal/>
    </border>
    <border>
      <left/>
      <right style="thin">
        <color rgb="00E5E7EB"/>
      </right>
      <top style="thin">
        <color rgb="00E5E7EB"/>
      </top>
      <bottom/>
      <diagonal/>
    </border>
    <border>
      <left/>
      <right/>
      <top style="thin">
        <color rgb="00E5E7EB"/>
      </top>
      <bottom style="thin">
        <color rgb="00E5E7EB"/>
      </bottom>
      <diagonal/>
    </border>
    <border>
      <left/>
      <right style="thin">
        <color rgb="00E5E7EB"/>
      </right>
      <top style="thin">
        <color rgb="00E5E7EB"/>
      </top>
      <bottom style="thin">
        <color rgb="00E5E7EB"/>
      </bottom>
      <diagonal/>
    </border>
  </borders>
  <cellStyleXfs count="1">
    <xf numFmtId="0" fontId="0" fillId="0" borderId="0"/>
  </cellStyleXfs>
  <cellXfs count="51">
    <xf numFmtId="0" fontId="0" fillId="0" borderId="0" pivotButton="0" quotePrefix="0" xfId="0"/>
    <xf numFmtId="0" fontId="1" fillId="0" borderId="0" pivotButton="0" quotePrefix="0" xfId="0"/>
    <xf numFmtId="0" fontId="2" fillId="0" borderId="0" applyAlignment="1" pivotButton="0" quotePrefix="0" xfId="0">
      <alignment horizontal="left" vertical="center" wrapText="1"/>
    </xf>
    <xf numFmtId="0" fontId="3" fillId="0" borderId="0" pivotButton="0" quotePrefix="0" xfId="0"/>
    <xf numFmtId="0" fontId="6" fillId="0" borderId="1" applyAlignment="1" pivotButton="0" quotePrefix="0" xfId="0">
      <alignment horizontal="left" vertical="center" wrapText="1"/>
    </xf>
    <xf numFmtId="0" fontId="6" fillId="4" borderId="1" applyAlignment="1" applyProtection="1" pivotButton="0" quotePrefix="0" xfId="0">
      <alignment horizontal="left" vertical="center" wrapText="1"/>
      <protection locked="0" hidden="0"/>
    </xf>
    <xf numFmtId="0" fontId="8" fillId="2" borderId="2" applyAlignment="1" pivotButton="0" quotePrefix="0" xfId="0">
      <alignment horizontal="left" vertical="bottom"/>
    </xf>
    <xf numFmtId="0" fontId="11" fillId="5" borderId="2" applyAlignment="1" pivotButton="0" quotePrefix="0" xfId="0">
      <alignment horizontal="left" vertical="bottom"/>
    </xf>
    <xf numFmtId="3" fontId="6" fillId="4" borderId="1" applyAlignment="1" applyProtection="1" pivotButton="0" quotePrefix="0" xfId="0">
      <alignment horizontal="right" vertical="center"/>
      <protection locked="0" hidden="0"/>
    </xf>
    <xf numFmtId="164" fontId="9" fillId="2" borderId="2" applyAlignment="1" pivotButton="0" quotePrefix="0" xfId="0">
      <alignment horizontal="left" vertical="center" shrinkToFit="1"/>
    </xf>
    <xf numFmtId="164" fontId="12" fillId="5" borderId="2" applyAlignment="1" pivotButton="0" quotePrefix="0" xfId="0">
      <alignment horizontal="left" vertical="center" shrinkToFit="1"/>
    </xf>
    <xf numFmtId="0" fontId="6" fillId="4" borderId="1" applyAlignment="1" applyProtection="1" pivotButton="0" quotePrefix="0" xfId="0">
      <alignment horizontal="center" vertical="center" wrapText="1"/>
      <protection locked="0" hidden="0"/>
    </xf>
    <xf numFmtId="0" fontId="10" fillId="2" borderId="2" applyAlignment="1" pivotButton="0" quotePrefix="0" xfId="0">
      <alignment horizontal="left" vertical="top" wrapText="1"/>
    </xf>
    <xf numFmtId="0" fontId="4" fillId="5" borderId="2" applyAlignment="1" pivotButton="0" quotePrefix="0" xfId="0">
      <alignment horizontal="left" vertical="top" wrapText="1"/>
    </xf>
    <xf numFmtId="0" fontId="0" fillId="0" borderId="5" pivotButton="0" quotePrefix="0" xfId="0"/>
    <xf numFmtId="49" fontId="12" fillId="5" borderId="2" applyAlignment="1" pivotButton="0" quotePrefix="0" xfId="0">
      <alignment horizontal="left" vertical="center" shrinkToFit="1"/>
    </xf>
    <xf numFmtId="1" fontId="6" fillId="4" borderId="1" applyAlignment="1" applyProtection="1" pivotButton="0" quotePrefix="0" xfId="0">
      <alignment horizontal="center" vertical="center" wrapText="1"/>
      <protection locked="0" hidden="0"/>
    </xf>
    <xf numFmtId="0" fontId="5" fillId="2" borderId="1" applyAlignment="1" pivotButton="0" quotePrefix="0" xfId="0">
      <alignment horizontal="center" vertical="center" wrapText="1"/>
    </xf>
    <xf numFmtId="0" fontId="0" fillId="0" borderId="8" pivotButton="0" quotePrefix="0" xfId="0"/>
    <xf numFmtId="0" fontId="0" fillId="0" borderId="9" pivotButton="0" quotePrefix="0" xfId="0"/>
    <xf numFmtId="0" fontId="4" fillId="0" borderId="1" applyAlignment="1" pivotButton="0" quotePrefix="0" xfId="0">
      <alignment horizontal="left" vertical="center" wrapText="1"/>
    </xf>
    <xf numFmtId="1" fontId="4" fillId="0" borderId="1" applyAlignment="1" pivotButton="0" quotePrefix="0" xfId="0">
      <alignment horizontal="center" vertical="center" wrapText="1"/>
    </xf>
    <xf numFmtId="164" fontId="6" fillId="0" borderId="1" applyAlignment="1" pivotButton="0" quotePrefix="0" xfId="0">
      <alignment horizontal="right" vertical="center"/>
    </xf>
    <xf numFmtId="0" fontId="4" fillId="0" borderId="0" applyAlignment="1" pivotButton="0" quotePrefix="0" xfId="0">
      <alignment horizontal="left" vertical="top" wrapText="1"/>
    </xf>
    <xf numFmtId="165" fontId="6" fillId="0" borderId="1" applyAlignment="1" pivotButton="0" quotePrefix="0" xfId="0">
      <alignment horizontal="right" vertical="center"/>
    </xf>
    <xf numFmtId="0" fontId="7" fillId="0" borderId="1" applyAlignment="1" pivotButton="0" quotePrefix="0" xfId="0">
      <alignment horizontal="left" vertical="center" wrapText="1"/>
    </xf>
    <xf numFmtId="164" fontId="7" fillId="0" borderId="1" applyAlignment="1" pivotButton="0" quotePrefix="0" xfId="0">
      <alignment horizontal="right" vertical="center"/>
    </xf>
    <xf numFmtId="0" fontId="4" fillId="0" borderId="0" applyAlignment="1" pivotButton="0" quotePrefix="0" xfId="0">
      <alignment horizontal="left" vertical="center" wrapText="1"/>
    </xf>
    <xf numFmtId="0" fontId="6" fillId="0" borderId="0" applyAlignment="1" pivotButton="0" quotePrefix="0" xfId="0">
      <alignment horizontal="left" vertical="top" wrapText="1"/>
    </xf>
    <xf numFmtId="0" fontId="6" fillId="4" borderId="0" pivotButton="0" quotePrefix="0" xfId="0"/>
    <xf numFmtId="0" fontId="6" fillId="3" borderId="0" pivotButton="0" quotePrefix="0" xfId="0"/>
    <xf numFmtId="3" fontId="6" fillId="3" borderId="1" applyAlignment="1" pivotButton="0" quotePrefix="0" xfId="0">
      <alignment horizontal="right" vertical="center"/>
    </xf>
    <xf numFmtId="0" fontId="4" fillId="0" borderId="1" applyAlignment="1" pivotButton="0" quotePrefix="0" xfId="0">
      <alignment horizontal="center" vertical="center" wrapText="1"/>
    </xf>
    <xf numFmtId="164" fontId="6" fillId="3" borderId="1" applyAlignment="1" pivotButton="0" quotePrefix="0" xfId="0">
      <alignment horizontal="right" vertical="center"/>
    </xf>
    <xf numFmtId="164" fontId="6" fillId="4" borderId="1" applyAlignment="1" applyProtection="1" pivotButton="0" quotePrefix="0" xfId="0">
      <alignment horizontal="right" vertical="center"/>
      <protection locked="0" hidden="0"/>
    </xf>
    <xf numFmtId="2" fontId="6" fillId="3" borderId="1" applyAlignment="1" pivotButton="0" quotePrefix="0" xfId="0">
      <alignment horizontal="right" vertical="center"/>
    </xf>
    <xf numFmtId="2" fontId="6" fillId="4" borderId="1" applyAlignment="1" applyProtection="1" pivotButton="0" quotePrefix="0" xfId="0">
      <alignment horizontal="right" vertical="center"/>
      <protection locked="0" hidden="0"/>
    </xf>
    <xf numFmtId="9" fontId="6" fillId="3" borderId="1" applyAlignment="1" pivotButton="0" quotePrefix="0" xfId="0">
      <alignment horizontal="right" vertical="center"/>
    </xf>
    <xf numFmtId="9" fontId="6" fillId="4" borderId="1" applyAlignment="1" applyProtection="1" pivotButton="0" quotePrefix="0" xfId="0">
      <alignment horizontal="right" vertical="center"/>
      <protection locked="0" hidden="0"/>
    </xf>
    <xf numFmtId="0" fontId="4" fillId="0" borderId="0" pivotButton="0" quotePrefix="0" xfId="0"/>
    <xf numFmtId="1" fontId="6" fillId="3" borderId="1" applyAlignment="1" pivotButton="0" quotePrefix="0" xfId="0">
      <alignment horizontal="right" vertical="center"/>
    </xf>
    <xf numFmtId="1" fontId="6" fillId="4" borderId="1" applyAlignment="1" applyProtection="1" pivotButton="0" quotePrefix="0" xfId="0">
      <alignment horizontal="right" vertical="center"/>
      <protection locked="0" hidden="0"/>
    </xf>
    <xf numFmtId="0" fontId="4" fillId="0" borderId="0" applyAlignment="1" pivotButton="0" quotePrefix="0" xfId="0">
      <alignment horizontal="center" vertical="center" wrapText="1"/>
    </xf>
    <xf numFmtId="3" fontId="4" fillId="0" borderId="0" pivotButton="0" quotePrefix="0" xfId="0"/>
    <xf numFmtId="164" fontId="4" fillId="0" borderId="0" pivotButton="0" quotePrefix="0" xfId="0"/>
    <xf numFmtId="2" fontId="4" fillId="0" borderId="0" pivotButton="0" quotePrefix="0" xfId="0"/>
    <xf numFmtId="1" fontId="4" fillId="0" borderId="0" pivotButton="0" quotePrefix="0" xfId="0"/>
    <xf numFmtId="9" fontId="4" fillId="0" borderId="0" pivotButton="0" quotePrefix="0" xfId="0"/>
    <xf numFmtId="49" fontId="4" fillId="0" borderId="0" pivotButton="0" quotePrefix="0" xfId="0"/>
    <xf numFmtId="49" fontId="4" fillId="0" borderId="1" applyAlignment="1" pivotButton="0" quotePrefix="0" xfId="0">
      <alignment horizontal="center" vertical="center" wrapText="1"/>
    </xf>
    <xf numFmtId="164" fontId="0" fillId="0" borderId="0" pivotButton="0" quotePrefix="0" xfId="0"/>
  </cellXfs>
  <cellStyles count="1">
    <cellStyle name="Normal" xfId="0" builtinId="0" hidden="0"/>
  </cellStyles>
  <dxfs count="5">
    <dxf>
      <font>
        <b val="1"/>
        <color rgb="00B91C1C"/>
        <sz val="9"/>
      </font>
    </dxf>
    <dxf>
      <font>
        <b val="1"/>
        <color rgb="0015803D"/>
        <sz val="22"/>
      </font>
    </dxf>
    <dxf>
      <font>
        <b val="1"/>
        <color rgb="00B45309"/>
        <sz val="22"/>
      </font>
    </dxf>
    <dxf>
      <font>
        <color rgb="0015803D"/>
        <sz val="9"/>
      </font>
    </dxf>
    <dxf>
      <font>
        <color rgb="00B45309"/>
        <sz val="9"/>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Le prix mensuel de chaque module retenu</a:t>
            </a:r>
          </a:p>
        </rich>
      </tx>
    </title>
    <plotArea>
      <barChart>
        <barDir val="bar"/>
        <grouping val="clustered"/>
        <ser>
          <idx val="0"/>
          <order val="0"/>
          <tx>
            <strRef>
              <f>'Calculs'!B19</f>
            </strRef>
          </tx>
          <spPr>
            <a:solidFill xmlns:a="http://schemas.openxmlformats.org/drawingml/2006/main">
              <a:srgbClr val="FF0037"/>
            </a:solidFill>
            <a:ln xmlns:a="http://schemas.openxmlformats.org/drawingml/2006/main">
              <a:noFill/>
              <a:prstDash val="solid"/>
            </a:ln>
          </spPr>
          <cat>
            <numRef>
              <f>'Calculs'!$A$20:$A$24</f>
            </numRef>
          </cat>
          <val>
            <numRef>
              <f>'Calculs'!$B$20:$B$24</f>
            </numRef>
          </val>
        </ser>
        <dLbls>
          <numFmt formatCode="#,##0&quot; €&quot;"/>
          <showVal val="1"/>
        </dLbls>
        <gapWidth val="6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Ce que change la durée d'engagement</a:t>
            </a:r>
          </a:p>
        </rich>
      </tx>
    </title>
    <plotArea>
      <barChart>
        <barDir val="col"/>
        <grouping val="clustered"/>
        <ser>
          <idx val="0"/>
          <order val="0"/>
          <tx>
            <strRef>
              <f>'Calculs'!C12</f>
            </strRef>
          </tx>
          <spPr>
            <a:solidFill xmlns:a="http://schemas.openxmlformats.org/drawingml/2006/main">
              <a:srgbClr val="111111"/>
            </a:solidFill>
            <a:ln xmlns:a="http://schemas.openxmlformats.org/drawingml/2006/main">
              <a:noFill/>
              <a:prstDash val="solid"/>
            </a:ln>
          </spPr>
          <cat>
            <numRef>
              <f>'Calculs'!$A$13:$A$16</f>
            </numRef>
          </cat>
          <val>
            <numRef>
              <f>'Calculs'!$C$13:$C$16</f>
            </numRef>
          </val>
        </ser>
        <dLbls>
          <numFmt formatCode="#,##0&quot; €&quot;"/>
          <showVal val="1"/>
        </dLbls>
        <gapWidth val="8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legend>
      <legendPos val="b"/>
    </legend>
    <plotVisOnly val="1"/>
    <dispBlanksAs val="gap"/>
  </chart>
</chartSpace>
</file>

<file path=xl/charts/chart3.xml><?xml version="1.0" encoding="utf-8"?>
<chartSpace xmlns="http://schemas.openxmlformats.org/drawingml/2006/chart">
  <style val="12"/>
  <chart>
    <title>
      <tx>
        <rich>
          <a:bodyPr xmlns:a="http://schemas.openxmlformats.org/drawingml/2006/main"/>
          <a:p xmlns:a="http://schemas.openxmlformats.org/drawingml/2006/main">
            <a:pPr>
              <a:defRPr/>
            </a:pPr>
            <a:r>
              <a:t>L'abonnement mensuel selon la taille de la commune (grille, engagement de la feuille Grille)</a:t>
            </a:r>
          </a:p>
        </rich>
      </tx>
    </title>
    <plotArea>
      <lineChart>
        <grouping val="standard"/>
        <ser>
          <idx val="0"/>
          <order val="0"/>
          <tx>
            <strRef>
              <f>'Grille'!D7</f>
            </strRef>
          </tx>
          <spPr>
            <a:ln xmlns:a="http://schemas.openxmlformats.org/drawingml/2006/main" w="22000">
              <a:solidFill>
                <a:srgbClr val="C4002A"/>
              </a:solidFill>
              <a:prstDash val="solid"/>
            </a:ln>
          </spPr>
          <marker>
            <symbol val="none"/>
            <spPr>
              <a:ln xmlns:a="http://schemas.openxmlformats.org/drawingml/2006/main">
                <a:prstDash val="solid"/>
              </a:ln>
            </spPr>
          </marker>
          <cat>
            <numRef>
              <f>'Grille'!$B$8:$B$22</f>
            </numRef>
          </cat>
          <val>
            <numRef>
              <f>'Grille'!$D$8:$D$22</f>
            </numRef>
          </val>
          <smooth val="1"/>
        </ser>
        <ser>
          <idx val="1"/>
          <order val="1"/>
          <tx>
            <strRef>
              <f>'Grille'!E7</f>
            </strRef>
          </tx>
          <spPr>
            <a:ln xmlns:a="http://schemas.openxmlformats.org/drawingml/2006/main" w="22000">
              <a:solidFill>
                <a:srgbClr val="B45309"/>
              </a:solidFill>
              <a:prstDash val="solid"/>
            </a:ln>
          </spPr>
          <marker>
            <symbol val="none"/>
            <spPr>
              <a:ln xmlns:a="http://schemas.openxmlformats.org/drawingml/2006/main">
                <a:prstDash val="solid"/>
              </a:ln>
            </spPr>
          </marker>
          <cat>
            <numRef>
              <f>'Grille'!$B$8:$B$22</f>
            </numRef>
          </cat>
          <val>
            <numRef>
              <f>'Grille'!$E$8:$E$22</f>
            </numRef>
          </val>
          <smooth val="1"/>
        </ser>
        <ser>
          <idx val="2"/>
          <order val="2"/>
          <tx>
            <strRef>
              <f>'Grille'!F7</f>
            </strRef>
          </tx>
          <spPr>
            <a:ln xmlns:a="http://schemas.openxmlformats.org/drawingml/2006/main" w="22000">
              <a:solidFill>
                <a:srgbClr val="0B7A4A"/>
              </a:solidFill>
              <a:prstDash val="solid"/>
            </a:ln>
          </spPr>
          <marker>
            <symbol val="none"/>
            <spPr>
              <a:ln xmlns:a="http://schemas.openxmlformats.org/drawingml/2006/main">
                <a:prstDash val="solid"/>
              </a:ln>
            </spPr>
          </marker>
          <cat>
            <numRef>
              <f>'Grille'!$B$8:$B$22</f>
            </numRef>
          </cat>
          <val>
            <numRef>
              <f>'Grille'!$F$8:$F$22</f>
            </numRef>
          </val>
          <smooth val="1"/>
        </ser>
        <ser>
          <idx val="3"/>
          <order val="3"/>
          <tx>
            <strRef>
              <f>'Grille'!G7</f>
            </strRef>
          </tx>
          <spPr>
            <a:ln xmlns:a="http://schemas.openxmlformats.org/drawingml/2006/main" w="22000">
              <a:solidFill>
                <a:srgbClr val="1B5FA8"/>
              </a:solidFill>
              <a:prstDash val="solid"/>
            </a:ln>
          </spPr>
          <marker>
            <symbol val="none"/>
            <spPr>
              <a:ln xmlns:a="http://schemas.openxmlformats.org/drawingml/2006/main">
                <a:prstDash val="solid"/>
              </a:ln>
            </spPr>
          </marker>
          <cat>
            <numRef>
              <f>'Grille'!$B$8:$B$22</f>
            </numRef>
          </cat>
          <val>
            <numRef>
              <f>'Grille'!$G$8:$G$22</f>
            </numRef>
          </val>
          <smooth val="1"/>
        </ser>
        <ser>
          <idx val="4"/>
          <order val="4"/>
          <tx>
            <strRef>
              <f>'Grille'!H7</f>
            </strRef>
          </tx>
          <spPr>
            <a:ln xmlns:a="http://schemas.openxmlformats.org/drawingml/2006/main" w="22000">
              <a:solidFill>
                <a:srgbClr val="7546CC"/>
              </a:solidFill>
              <a:prstDash val="solid"/>
            </a:ln>
          </spPr>
          <marker>
            <symbol val="none"/>
            <spPr>
              <a:ln xmlns:a="http://schemas.openxmlformats.org/drawingml/2006/main">
                <a:prstDash val="solid"/>
              </a:ln>
            </spPr>
          </marker>
          <cat>
            <numRef>
              <f>'Grille'!$B$8:$B$22</f>
            </numRef>
          </cat>
          <val>
            <numRef>
              <f>'Grille'!$H$8:$H$22</f>
            </numRef>
          </val>
          <smooth val="1"/>
        </ser>
        <ser>
          <idx val="5"/>
          <order val="5"/>
          <tx>
            <strRef>
              <f>'Grille'!I7</f>
            </strRef>
          </tx>
          <spPr>
            <a:ln xmlns:a="http://schemas.openxmlformats.org/drawingml/2006/main" w="34000">
              <a:solidFill>
                <a:srgbClr val="FF0037"/>
              </a:solidFill>
              <a:prstDash val="solid"/>
            </a:ln>
          </spPr>
          <marker>
            <symbol val="none"/>
            <spPr>
              <a:ln xmlns:a="http://schemas.openxmlformats.org/drawingml/2006/main">
                <a:prstDash val="solid"/>
              </a:ln>
            </spPr>
          </marker>
          <cat>
            <numRef>
              <f>'Grille'!$B$8:$B$22</f>
            </numRef>
          </cat>
          <val>
            <numRef>
              <f>'Grille'!$I$8:$I$22</f>
            </numRef>
          </val>
          <smooth val="1"/>
        </ser>
        <axId val="10"/>
        <axId val="100"/>
      </lineChart>
      <catAx>
        <axId val="10"/>
        <scaling>
          <orientation val="minMax"/>
        </scaling>
        <axPos val="l"/>
        <title>
          <tx>
            <rich>
              <a:bodyPr xmlns:a="http://schemas.openxmlformats.org/drawingml/2006/main"/>
              <a:p xmlns:a="http://schemas.openxmlformats.org/drawingml/2006/main">
                <a:pPr>
                  <a:defRPr/>
                </a:pPr>
                <a:r>
                  <a:t>Habitants</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legend>
      <legendPos val="b"/>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Vos scénarios : le total sur la durée, mise en service comprise</a:t>
            </a:r>
          </a:p>
        </rich>
      </tx>
    </title>
    <plotArea>
      <barChart>
        <barDir val="bar"/>
        <grouping val="clustered"/>
        <ser>
          <idx val="0"/>
          <order val="0"/>
          <tx>
            <strRef>
              <f>'Scénarios'!M5</f>
            </strRef>
          </tx>
          <spPr>
            <a:solidFill xmlns:a="http://schemas.openxmlformats.org/drawingml/2006/main">
              <a:srgbClr val="1B5FA8"/>
            </a:solidFill>
            <a:ln xmlns:a="http://schemas.openxmlformats.org/drawingml/2006/main">
              <a:noFill/>
              <a:prstDash val="solid"/>
            </a:ln>
          </spPr>
          <cat>
            <numRef>
              <f>'Scénarios'!$B$6:$B$30</f>
            </numRef>
          </cat>
          <val>
            <numRef>
              <f>'Scénarios'!$M$6:$M$30</f>
            </numRef>
          </val>
        </ser>
        <dLbls>
          <numFmt formatCode="#,##0&quot; €&quot;"/>
          <showVal val="1"/>
        </dLbls>
        <gapWidth val="4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9</col>
      <colOff>0</colOff>
      <row>4</row>
      <rowOff>0</rowOff>
    </from>
    <ext cx="48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20</row>
      <rowOff>0</rowOff>
    </from>
    <ext cx="486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26</row>
      <rowOff>0</rowOff>
    </from>
    <ext cx="990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col>
      <colOff>0</colOff>
      <row>45</row>
      <rowOff>0</rowOff>
    </from>
    <ext cx="9900000" cy="39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H68"/>
  <sheetViews>
    <sheetView showGridLines="0" zoomScale="110" workbookViewId="0">
      <selection activeCell="A1" sqref="A1"/>
    </sheetView>
  </sheetViews>
  <sheetFormatPr baseColWidth="8" defaultRowHeight="15"/>
  <cols>
    <col width="2" customWidth="1" min="1" max="1"/>
    <col width="30" customWidth="1" min="2" max="2"/>
    <col width="14" customWidth="1" min="3" max="3"/>
    <col width="3" customWidth="1" min="4" max="4"/>
    <col width="34" customWidth="1" min="5" max="5"/>
    <col width="17" customWidth="1" min="6" max="6"/>
    <col width="17" customWidth="1" min="7" max="7"/>
    <col width="17" customWidth="1" min="8" max="8"/>
    <col width="3"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2">
      <c r="B2" s="1" t="inlineStr">
        <is>
          <t>Simulateur de tarification Open Projets</t>
        </is>
      </c>
    </row>
    <row r="3">
      <c r="B3" s="2" t="inlineStr">
        <is>
          <t>Réglez la commune dans les cases jaunes : tout le tableau de bord suit. Les montants sont hors taxes.</t>
        </is>
      </c>
    </row>
    <row r="5">
      <c r="B5" s="3" t="inlineStr">
        <is>
          <t>Votre scénario</t>
        </is>
      </c>
      <c r="E5" s="3" t="inlineStr">
        <is>
          <t>Le prix pour cette commune</t>
        </is>
      </c>
    </row>
    <row r="6" ht="16" customHeight="1">
      <c r="B6" s="4" t="inlineStr">
        <is>
          <t>Collectivité</t>
        </is>
      </c>
      <c r="C6" s="5" t="inlineStr">
        <is>
          <t>Ville de Trifouillis</t>
        </is>
      </c>
      <c r="E6" s="6" t="inlineStr">
        <is>
          <t>ABONNEMENT MENSUEL HT</t>
        </is>
      </c>
      <c r="F6" s="7" t="inlineStr">
        <is>
          <t>ABONNEMENT ANNUEL HT</t>
        </is>
      </c>
      <c r="G6" s="7" t="inlineStr">
        <is>
          <t>MISE EN SERVICE</t>
        </is>
      </c>
      <c r="H6" s="7" t="inlineStr">
        <is>
          <t>TOTAL SUR LA DURÉE</t>
        </is>
      </c>
    </row>
    <row r="7" ht="34" customHeight="1">
      <c r="B7" s="4" t="inlineStr">
        <is>
          <t>Habitants</t>
        </is>
      </c>
      <c r="C7" s="8" t="n">
        <v>12000</v>
      </c>
      <c r="E7" s="9">
        <f>Calculs!R4</f>
        <v/>
      </c>
      <c r="F7" s="10">
        <f>Calculs!S4</f>
        <v/>
      </c>
      <c r="G7" s="10">
        <f>Calculs!T4</f>
        <v/>
      </c>
      <c r="H7" s="10">
        <f>Calculs!U4</f>
        <v/>
      </c>
    </row>
    <row r="8" ht="26" customHeight="1">
      <c r="B8" s="4" t="inlineStr">
        <is>
          <t>Carte des projets urbains</t>
        </is>
      </c>
      <c r="C8" s="11" t="inlineStr">
        <is>
          <t>Oui</t>
        </is>
      </c>
      <c r="E8" s="12">
        <f>TEXT(Calculs!L4,"0")&amp;IF(Calculs!L4&gt;1," modules, "," module, ")&amp;TEXT('Tableau de bord'!$C$13,"0")&amp;IF('Tableau de bord'!$C$13&gt;1," ans"," an")</f>
        <v/>
      </c>
      <c r="F8" s="13" t="inlineStr">
        <is>
          <t>Chaque année de l'engagement</t>
        </is>
      </c>
      <c r="G8" s="13" t="inlineStr">
        <is>
          <t>Une seule fois, la première année</t>
        </is>
      </c>
      <c r="H8" s="13" t="inlineStr">
        <is>
          <t>Mise en service comprise, hors taxes</t>
        </is>
      </c>
    </row>
    <row r="9">
      <c r="B9" s="4" t="inlineStr">
        <is>
          <t>Travaux du quotidien</t>
        </is>
      </c>
      <c r="C9" s="11" t="inlineStr">
        <is>
          <t>Oui</t>
        </is>
      </c>
    </row>
    <row r="10" ht="16" customHeight="1">
      <c r="B10" s="4" t="inlineStr">
        <is>
          <t>Chantiers et arrêtés</t>
        </is>
      </c>
      <c r="C10" s="11" t="inlineStr">
        <is>
          <t>Non</t>
        </is>
      </c>
      <c r="E10" s="7" t="inlineStr">
        <is>
          <t>CE QUE LE VISITEUR VOIT SUR LE SITE</t>
        </is>
      </c>
      <c r="F10" s="14" t="n"/>
      <c r="G10" s="7" t="inlineStr">
        <is>
          <t>COMMANDE PUBLIQUE</t>
        </is>
      </c>
      <c r="H10" s="14" t="n"/>
    </row>
    <row r="11" ht="34" customHeight="1">
      <c r="B11" s="4" t="inlineStr">
        <is>
          <t>Signalement</t>
        </is>
      </c>
      <c r="C11" s="11" t="inlineStr">
        <is>
          <t>Non</t>
        </is>
      </c>
      <c r="E11" s="15">
        <f>"de "&amp;TRIM(TEXT(Calculs!X4,"# ##0"))&amp;" à "&amp;TRIM(TEXT(Calculs!Y4,"# ##0"))&amp;" € par mois"</f>
        <v/>
      </c>
      <c r="F11" s="14" t="n"/>
      <c r="G11" s="15">
        <f>Calculs!V4</f>
        <v/>
      </c>
      <c r="H11" s="14" t="n"/>
    </row>
    <row r="12" ht="26" customHeight="1">
      <c r="B12" s="4" t="inlineStr">
        <is>
          <t>Diagnostic terrain</t>
        </is>
      </c>
      <c r="C12" s="11" t="inlineStr">
        <is>
          <t>Non</t>
        </is>
      </c>
      <c r="E12" s="13" t="inlineStr">
        <is>
          <t>La fourchette publique, le tarif exact se demande</t>
        </is>
      </c>
      <c r="F12" s="14" t="n"/>
      <c r="G12" s="13">
        <f>IF(Calculs!V4="Sous les seuils","Commande sans mise en concurrence possible","Le total dépasse "&amp;TRIM(TEXT(IF(Calculs!U4&gt;=Seuil_3,Seuil_3,IF(Calculs!U4&gt;=Seuil_2,Seuil_2,Seuil_1)),"# ##0"))&amp;" € HT")</f>
        <v/>
      </c>
      <c r="H12" s="14" t="n"/>
    </row>
    <row r="13">
      <c r="B13" s="4" t="inlineStr">
        <is>
          <t>Engagement, en années</t>
        </is>
      </c>
      <c r="C13" s="16" t="n">
        <v>3</v>
      </c>
    </row>
    <row r="14">
      <c r="E14" s="3" t="inlineStr">
        <is>
          <t>Le détail du prix, par mois</t>
        </is>
      </c>
    </row>
    <row r="15">
      <c r="E15" s="17" t="inlineStr">
        <is>
          <t>Poste</t>
        </is>
      </c>
      <c r="F15" s="17" t="inlineStr">
        <is>
          <t>Montant</t>
        </is>
      </c>
      <c r="G15" s="18" t="n"/>
      <c r="H15" s="19" t="n"/>
    </row>
    <row r="16">
      <c r="B16" s="20" t="inlineStr">
        <is>
          <t>Réglages modifiés par rapport au site</t>
        </is>
      </c>
      <c r="C16" s="21">
        <f>COUNTIF('Réglages'!$E$1:$E$51,"modifié")</f>
        <v/>
      </c>
      <c r="E16" s="4" t="inlineStr">
        <is>
          <t>Carte des projets urbains</t>
        </is>
      </c>
      <c r="F16" s="22">
        <f>IF(Calculs!F4=0,"non retenu",Calculs!F4)</f>
        <v/>
      </c>
      <c r="G16" s="18" t="n"/>
      <c r="H16" s="19" t="n"/>
    </row>
    <row r="17">
      <c r="B17" s="23" t="inlineStr">
        <is>
          <t>Zéro veut dire que ce classeur applique exactement la grille en production. Les réglages sont dans la feuille du même nom.</t>
        </is>
      </c>
      <c r="E17" s="4" t="inlineStr">
        <is>
          <t>Travaux du quotidien</t>
        </is>
      </c>
      <c r="F17" s="22">
        <f>IF(Calculs!G4=0,"non retenu",Calculs!G4)</f>
        <v/>
      </c>
      <c r="G17" s="18" t="n"/>
      <c r="H17" s="19" t="n"/>
    </row>
    <row r="18">
      <c r="E18" s="4" t="inlineStr">
        <is>
          <t>Chantiers et arrêtés</t>
        </is>
      </c>
      <c r="F18" s="22">
        <f>IF(Calculs!H4=0,"non retenu",Calculs!H4)</f>
        <v/>
      </c>
      <c r="G18" s="18" t="n"/>
      <c r="H18" s="19" t="n"/>
    </row>
    <row r="19">
      <c r="E19" s="4" t="inlineStr">
        <is>
          <t>Signalement</t>
        </is>
      </c>
      <c r="F19" s="22">
        <f>IF(Calculs!I4=0,"non retenu",Calculs!I4)</f>
        <v/>
      </c>
      <c r="G19" s="18" t="n"/>
      <c r="H19" s="19" t="n"/>
    </row>
    <row r="20">
      <c r="E20" s="4" t="inlineStr">
        <is>
          <t>Diagnostic terrain</t>
        </is>
      </c>
      <c r="F20" s="22">
        <f>IF(Calculs!J4=0,"non retenu",Calculs!J4)</f>
        <v/>
      </c>
      <c r="G20" s="18" t="n"/>
      <c r="H20" s="19" t="n"/>
    </row>
    <row r="21">
      <c r="E21" s="4" t="inlineStr">
        <is>
          <t>Remise multi-modules, sur le plus cher</t>
        </is>
      </c>
      <c r="F21" s="24">
        <f>IF(Calculs!N4=0,"aucune",-Calculs!N4)</f>
        <v/>
      </c>
      <c r="G21" s="18" t="n"/>
      <c r="H21" s="19" t="n"/>
    </row>
    <row r="22">
      <c r="E22" s="4" t="inlineStr">
        <is>
          <t>Remise d'engagement</t>
        </is>
      </c>
      <c r="F22" s="24">
        <f>IF(Calculs!Q4=0,"aucune",-Calculs!Q4)</f>
        <v/>
      </c>
      <c r="G22" s="18" t="n"/>
      <c r="H22" s="19" t="n"/>
    </row>
    <row r="23">
      <c r="E23" s="25" t="inlineStr">
        <is>
          <t>Abonnement mensuel HT</t>
        </is>
      </c>
      <c r="F23" s="26">
        <f>Calculs!R4</f>
        <v/>
      </c>
      <c r="G23" s="18" t="n"/>
      <c r="H23" s="19" t="n"/>
    </row>
    <row r="68">
      <c r="B68" s="27" t="inlineStr">
        <is>
          <t>Les scénarios vides de la feuille Scénarios apparaissent sans barre. Les seuils de la commande publique sont à 60 000, 90 000 et 216 000 euros hors taxes sur toute la durée.</t>
        </is>
      </c>
    </row>
  </sheetData>
  <sheetProtection selectLockedCells="0" selectUnlockedCells="0" sheet="1" objects="0" insertRows="1" insertHyperlinks="1" autoFilter="1" scenarios="0" formatColumns="0" deleteColumns="1" insertColumns="1" pivotTables="1" deleteRows="1" formatCells="1" formatRows="0" sort="1"/>
  <mergeCells count="18">
    <mergeCell ref="F20:H20"/>
    <mergeCell ref="E12:F12"/>
    <mergeCell ref="F16:H16"/>
    <mergeCell ref="F23:H23"/>
    <mergeCell ref="G12:H12"/>
    <mergeCell ref="F19:H19"/>
    <mergeCell ref="F21:H21"/>
    <mergeCell ref="B17:C18"/>
    <mergeCell ref="E10:F10"/>
    <mergeCell ref="F18:H18"/>
    <mergeCell ref="F22:H22"/>
    <mergeCell ref="G10:H10"/>
    <mergeCell ref="G11:H11"/>
    <mergeCell ref="E11:F11"/>
    <mergeCell ref="B68:H68"/>
    <mergeCell ref="F17:H17"/>
    <mergeCell ref="B3:H3"/>
    <mergeCell ref="F15:H15"/>
  </mergeCells>
  <conditionalFormatting sqref="C16">
    <cfRule type="cellIs" priority="1" operator="greaterThan" dxfId="0">
      <formula>0</formula>
    </cfRule>
  </conditionalFormatting>
  <conditionalFormatting sqref="G11">
    <cfRule type="cellIs" priority="2" operator="equal" dxfId="1">
      <formula>"Sous les seuils"</formula>
    </cfRule>
    <cfRule type="cellIs" priority="3" operator="notEqual" dxfId="2">
      <formula>"Sous les seuils"</formula>
    </cfRule>
  </conditionalFormatting>
  <dataValidations count="2">
    <dataValidation sqref="C8 C9 C10 C11 C12" showDropDown="0" showInputMessage="0" showErrorMessage="0" allowBlank="0" type="list">
      <formula1>"Oui,Non"</formula1>
    </dataValidation>
    <dataValidation sqref="C13" showDropDown="0" showInputMessage="0" showErrorMessage="0" allowBlank="0" type="list">
      <formula1>"1,2,3,4"</formula1>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2:B20"/>
  <sheetViews>
    <sheetView showGridLines="0" workbookViewId="0">
      <selection activeCell="A1" sqref="A1"/>
    </sheetView>
  </sheetViews>
  <sheetFormatPr baseColWidth="8" defaultRowHeight="15"/>
  <cols>
    <col width="3" customWidth="1" min="1" max="1"/>
    <col width="110" customWidth="1" min="2" max="2"/>
  </cols>
  <sheetData>
    <row r="2">
      <c r="B2" s="1" t="inlineStr">
        <is>
          <t>Comment se servir de ce classeur</t>
        </is>
      </c>
    </row>
    <row r="5" ht="51" customHeight="1">
      <c r="B5" s="28" t="inlineStr">
        <is>
          <t>Ce classeur reproduit le calcul de prix de la page de tarification du site, tel qu'il est en production. Il sert à préparer un rendez-vous, à comparer des offres et à voir ce que donnerait un changement de grille. Rien n'est à renvoyer : c'est votre outil de travail.</t>
        </is>
      </c>
    </row>
    <row r="7" ht="66" customHeight="1">
      <c r="B7" s="28" t="inlineStr">
        <is>
          <t>Les cases jaunes se remplissent, tout le reste se calcule. La feuille Tableau de bord affiche le prix d'une commune : sa population, les modules retenus, la durée d'engagement, puis l'abonnement, la mise en service, le total sur la durée, la fourchette que le visiteur voit sur le site et la situation face aux seuils de la commande publique. Les graphiques suivent le scénario.</t>
        </is>
      </c>
    </row>
    <row r="9" ht="36" customHeight="1">
      <c r="B9" s="28" t="inlineStr">
        <is>
          <t>La feuille Scénarios accepte jusqu'à vingt-cinq cas, un par ligne, avec le prix de chacun et sa fourchette publique. Le dernier graphique du tableau de bord les compare.</t>
        </is>
      </c>
    </row>
    <row r="11" ht="36" customHeight="1">
      <c r="B11" s="28" t="inlineStr">
        <is>
          <t>La feuille Grille montre le prix sur toutes les tailles de communes, module par module puis pour la suite complète. C'est elle qui nourrit la courbe du tableau de bord.</t>
        </is>
      </c>
    </row>
    <row r="13" ht="66" customHeight="1">
      <c r="B13" s="28" t="inlineStr">
        <is>
          <t>La feuille Réglages contient la grille de production et la valeur que ce classeur utilise. Vous pouvez modifier cette dernière pour voir ce qu'un autre prix, un autre poids ou une autre remise donnerait. Le tableau de bord compte les réglages modifiés : à zéro, vous êtes exactement sur la grille du site. Pour revenir en arrière, recopiez la valeur grise.</t>
        </is>
      </c>
    </row>
    <row r="15" ht="51" customHeight="1">
      <c r="B15" s="28" t="inlineStr">
        <is>
          <t>Les feuilles sont protégées sans mot de passe, pour éviter d'effacer une formule par mégarde. L'onglet Révision d'Excel permet d'ôter la protection si vous voulez aller plus loin. Les colonnes de calcul détaillé sont repliées à droite des feuilles Grille et Scénarios.</t>
        </is>
      </c>
    </row>
    <row r="17" ht="21" customHeight="1">
      <c r="B17" s="28" t="inlineStr">
        <is>
          <t>Tous les montants sont hors taxes. La TVA de 20 % s'ajoute.</t>
        </is>
      </c>
    </row>
    <row r="19">
      <c r="B19" s="29" t="inlineStr">
        <is>
          <t>Case jaune : à remplir par vous</t>
        </is>
      </c>
    </row>
    <row r="20">
      <c r="B20" s="30" t="inlineStr">
        <is>
          <t>Case grise : la valeur en production sur le site, en lecture seule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2:F51"/>
  <sheetViews>
    <sheetView showGridLines="0" workbookViewId="0">
      <pane ySplit="4" topLeftCell="A5" activePane="bottomLeft" state="frozen"/>
      <selection pane="bottomLeft" activeCell="A1" sqref="A1"/>
    </sheetView>
  </sheetViews>
  <sheetFormatPr baseColWidth="8" defaultRowHeight="15"/>
  <cols>
    <col width="3" customWidth="1" min="1" max="1"/>
    <col width="48" customWidth="1" min="2" max="2"/>
    <col width="22" customWidth="1" min="3" max="3"/>
    <col width="22" customWidth="1" min="4" max="4"/>
    <col width="12" customWidth="1" min="5" max="5"/>
    <col width="56" customWidth="1" min="6" max="6"/>
  </cols>
  <sheetData>
    <row r="2">
      <c r="B2" s="1" t="inlineStr">
        <is>
          <t>Les réglages de la grille</t>
        </is>
      </c>
    </row>
    <row r="3" ht="44" customHeight="1">
      <c r="B3" s="2" t="inlineStr">
        <is>
          <t>La colonne grise est la grille en production sur le site. La colonne jaune est celle que tout le classeur utilise : elle part de la production, et vous pouvez la modifier pour voir ce que cela change. Pour revenir à la grille du site, recopiez la valeur grise.</t>
        </is>
      </c>
    </row>
    <row r="6">
      <c r="B6" s="3" t="inlineStr">
        <is>
          <t>La courbe</t>
        </is>
      </c>
    </row>
    <row r="7" ht="34" customHeight="1">
      <c r="B7" s="27" t="inlineStr">
        <is>
          <t>Le prix d'une unité de poids suit la population en puissance. Deux chiffres suffisent : le prix à l'ancre et l'exposant. Avec un exposant de 0,5, une commune dix fois plus peuplée paie un peu plus de trois fois plus.</t>
        </is>
      </c>
    </row>
    <row r="8">
      <c r="B8" s="17" t="inlineStr">
        <is>
          <t>Réglage</t>
        </is>
      </c>
      <c r="C8" s="17" t="inlineStr">
        <is>
          <t>Sur le site</t>
        </is>
      </c>
      <c r="D8" s="17" t="inlineStr">
        <is>
          <t>Utilisé ici</t>
        </is>
      </c>
      <c r="E8" s="17" t="inlineStr">
        <is>
          <t>Écart</t>
        </is>
      </c>
      <c r="F8" s="17" t="inlineStr">
        <is>
          <t>Ce que cela veut dire</t>
        </is>
      </c>
    </row>
    <row r="9">
      <c r="B9" s="4" t="inlineStr">
        <is>
          <t>Population de l'ancre</t>
        </is>
      </c>
      <c r="C9" s="31" t="n">
        <v>12000</v>
      </c>
      <c r="D9" s="8" t="n">
        <v>12000</v>
      </c>
      <c r="E9" s="32">
        <f>IF(D9=C9,"","modifié")</f>
        <v/>
      </c>
      <c r="F9" s="20" t="inlineStr">
        <is>
          <t>La commune de référence de la courbe</t>
        </is>
      </c>
    </row>
    <row r="10">
      <c r="B10" s="4" t="inlineStr">
        <is>
          <t>Prix mensuel HT d'une unité de poids à l'ancre</t>
        </is>
      </c>
      <c r="C10" s="33" t="n">
        <v>200</v>
      </c>
      <c r="D10" s="34" t="n">
        <v>200</v>
      </c>
      <c r="E10" s="32">
        <f>IF(D10=C10,"","modifié")</f>
        <v/>
      </c>
      <c r="F10" s="20" t="inlineStr">
        <is>
          <t>Le prix du module Carte pour cette commune</t>
        </is>
      </c>
    </row>
    <row r="11">
      <c r="B11" s="4" t="inlineStr">
        <is>
          <t>Exposant de la courbe</t>
        </is>
      </c>
      <c r="C11" s="35" t="n">
        <v>0.5</v>
      </c>
      <c r="D11" s="36" t="n">
        <v>0.5</v>
      </c>
      <c r="E11" s="32">
        <f>IF(D11=C11,"","modifié")</f>
        <v/>
      </c>
      <c r="F11" s="20" t="inlineStr">
        <is>
          <t>Plus il est haut, plus les grandes villes paient</t>
        </is>
      </c>
    </row>
    <row r="12">
      <c r="B12" s="4" t="inlineStr">
        <is>
          <t>Population minimale</t>
        </is>
      </c>
      <c r="C12" s="31" t="n">
        <v>500</v>
      </c>
      <c r="D12" s="8" t="n">
        <v>500</v>
      </c>
      <c r="E12" s="32">
        <f>IF(D12=C12,"","modifié")</f>
        <v/>
      </c>
      <c r="F12" s="20" t="inlineStr">
        <is>
          <t>En dessous, la page ramène à ce plancher</t>
        </is>
      </c>
    </row>
    <row r="13">
      <c r="B13" s="4" t="inlineStr">
        <is>
          <t>Population maximale</t>
        </is>
      </c>
      <c r="C13" s="31" t="n">
        <v>2500000</v>
      </c>
      <c r="D13" s="8" t="n">
        <v>2500000</v>
      </c>
      <c r="E13" s="32">
        <f>IF(D13=C13,"","modifié")</f>
        <v/>
      </c>
      <c r="F13" s="20" t="inlineStr">
        <is>
          <t>Au-dessus, la page ramène à ce plafond</t>
        </is>
      </c>
    </row>
    <row r="14">
      <c r="B14" s="3" t="inlineStr">
        <is>
          <t>Le poids de chaque module</t>
        </is>
      </c>
    </row>
    <row r="15" ht="19" customHeight="1">
      <c r="B15" s="27" t="inlineStr">
        <is>
          <t>Le prix d'un module est le prix de l'unité multiplié par son poids.</t>
        </is>
      </c>
    </row>
    <row r="16">
      <c r="B16" s="17" t="inlineStr">
        <is>
          <t>Réglage</t>
        </is>
      </c>
      <c r="C16" s="17" t="inlineStr">
        <is>
          <t>Sur le site</t>
        </is>
      </c>
      <c r="D16" s="17" t="inlineStr">
        <is>
          <t>Utilisé ici</t>
        </is>
      </c>
      <c r="E16" s="17" t="inlineStr">
        <is>
          <t>Écart</t>
        </is>
      </c>
      <c r="F16" s="17" t="inlineStr">
        <is>
          <t>Ce que cela veut dire</t>
        </is>
      </c>
    </row>
    <row r="17">
      <c r="B17" s="4" t="inlineStr">
        <is>
          <t>Carte des projets urbains</t>
        </is>
      </c>
      <c r="C17" s="35" t="n">
        <v>1</v>
      </c>
      <c r="D17" s="36" t="n">
        <v>1</v>
      </c>
      <c r="E17" s="32">
        <f>IF(D17=C17,"","modifié")</f>
        <v/>
      </c>
      <c r="F17" s="20" t="inlineStr"/>
    </row>
    <row r="18">
      <c r="B18" s="4" t="inlineStr">
        <is>
          <t>Travaux du quotidien</t>
        </is>
      </c>
      <c r="C18" s="35" t="n">
        <v>0.6</v>
      </c>
      <c r="D18" s="36" t="n">
        <v>0.6</v>
      </c>
      <c r="E18" s="32">
        <f>IF(D18=C18,"","modifié")</f>
        <v/>
      </c>
      <c r="F18" s="20" t="inlineStr"/>
    </row>
    <row r="19">
      <c r="B19" s="4" t="inlineStr">
        <is>
          <t>Chantiers et arrêtés</t>
        </is>
      </c>
      <c r="C19" s="35" t="n">
        <v>3</v>
      </c>
      <c r="D19" s="36" t="n">
        <v>3</v>
      </c>
      <c r="E19" s="32">
        <f>IF(D19=C19,"","modifié")</f>
        <v/>
      </c>
      <c r="F19" s="20" t="inlineStr"/>
    </row>
    <row r="20">
      <c r="B20" s="4" t="inlineStr">
        <is>
          <t>Signalement</t>
        </is>
      </c>
      <c r="C20" s="35" t="n">
        <v>2</v>
      </c>
      <c r="D20" s="36" t="n">
        <v>2</v>
      </c>
      <c r="E20" s="32">
        <f>IF(D20=C20,"","modifié")</f>
        <v/>
      </c>
      <c r="F20" s="20" t="inlineStr"/>
    </row>
    <row r="21">
      <c r="B21" s="4" t="inlineStr">
        <is>
          <t>Diagnostic terrain</t>
        </is>
      </c>
      <c r="C21" s="35" t="n">
        <v>0.8</v>
      </c>
      <c r="D21" s="36" t="n">
        <v>0.8</v>
      </c>
      <c r="E21" s="32">
        <f>IF(D21=C21,"","modifié")</f>
        <v/>
      </c>
      <c r="F21" s="20" t="inlineStr"/>
    </row>
    <row r="22">
      <c r="B22" s="3" t="inlineStr">
        <is>
          <t>Le module Chantiers et arrêtés dans les petites communes</t>
        </is>
      </c>
    </row>
    <row r="23" ht="34" customHeight="1">
      <c r="B23" s="27" t="inlineStr">
        <is>
          <t>Il vaut la moitié de son poids jusqu'au premier seuil, son poids entier à partir du second, et monte en pente douce entre les deux.</t>
        </is>
      </c>
    </row>
    <row r="24">
      <c r="B24" s="17" t="inlineStr">
        <is>
          <t>Réglage</t>
        </is>
      </c>
      <c r="C24" s="17" t="inlineStr">
        <is>
          <t>Sur le site</t>
        </is>
      </c>
      <c r="D24" s="17" t="inlineStr">
        <is>
          <t>Utilisé ici</t>
        </is>
      </c>
      <c r="E24" s="17" t="inlineStr">
        <is>
          <t>Écart</t>
        </is>
      </c>
      <c r="F24" s="17" t="inlineStr">
        <is>
          <t>Ce que cela veut dire</t>
        </is>
      </c>
    </row>
    <row r="25">
      <c r="B25" s="4" t="inlineStr">
        <is>
          <t>Demi-poids jusqu'à</t>
        </is>
      </c>
      <c r="C25" s="31" t="n">
        <v>5000</v>
      </c>
      <c r="D25" s="8" t="n">
        <v>5000</v>
      </c>
      <c r="E25" s="32">
        <f>IF(D25=C25,"","modifié")</f>
        <v/>
      </c>
      <c r="F25" s="20" t="inlineStr">
        <is>
          <t>habitants</t>
        </is>
      </c>
    </row>
    <row r="26">
      <c r="B26" s="4" t="inlineStr">
        <is>
          <t>Poids entier à partir de</t>
        </is>
      </c>
      <c r="C26" s="31" t="n">
        <v>20000</v>
      </c>
      <c r="D26" s="8" t="n">
        <v>20000</v>
      </c>
      <c r="E26" s="32">
        <f>IF(D26=C26,"","modifié")</f>
        <v/>
      </c>
      <c r="F26" s="20" t="inlineStr">
        <is>
          <t>habitants</t>
        </is>
      </c>
    </row>
    <row r="27">
      <c r="B27" s="3" t="inlineStr">
        <is>
          <t>Les remises</t>
        </is>
      </c>
    </row>
    <row r="28" ht="34" customHeight="1">
      <c r="B28" s="27" t="inlineStr">
        <is>
          <t>Prendre plusieurs modules fait baisser le plus cher d'entre eux, de ce taux par module ajouté au premier. L'engagement baisse ensuite tout l'abonnement, chaque année.</t>
        </is>
      </c>
    </row>
    <row r="29">
      <c r="B29" s="17" t="inlineStr">
        <is>
          <t>Réglage</t>
        </is>
      </c>
      <c r="C29" s="17" t="inlineStr">
        <is>
          <t>Sur le site</t>
        </is>
      </c>
      <c r="D29" s="17" t="inlineStr">
        <is>
          <t>Utilisé ici</t>
        </is>
      </c>
      <c r="E29" s="17" t="inlineStr">
        <is>
          <t>Écart</t>
        </is>
      </c>
      <c r="F29" s="17" t="inlineStr">
        <is>
          <t>Ce que cela veut dire</t>
        </is>
      </c>
    </row>
    <row r="30">
      <c r="B30" s="4" t="inlineStr">
        <is>
          <t>Remise par module ajouté, sur le module le plus cher</t>
        </is>
      </c>
      <c r="C30" s="37" t="n">
        <v>0.1</v>
      </c>
      <c r="D30" s="38" t="n">
        <v>0.1</v>
      </c>
      <c r="E30" s="32">
        <f>IF(D30=C30,"","modifié")</f>
        <v/>
      </c>
      <c r="F30" s="20" t="inlineStr">
        <is>
          <t>Deux modules : ce taux, trois : le double, et ainsi de suite</t>
        </is>
      </c>
    </row>
    <row r="31">
      <c r="A31" s="39" t="n">
        <v>1</v>
      </c>
      <c r="B31" s="4" t="inlineStr">
        <is>
          <t>Engagement 1 an</t>
        </is>
      </c>
      <c r="C31" s="37" t="n">
        <v>0</v>
      </c>
      <c r="D31" s="38" t="n">
        <v>0</v>
      </c>
      <c r="E31" s="32">
        <f>IF(D31=C31,"","modifié")</f>
        <v/>
      </c>
      <c r="F31" s="20" t="inlineStr">
        <is>
          <t>Remise sur l'abonnement, chaque année</t>
        </is>
      </c>
    </row>
    <row r="32">
      <c r="A32" s="39" t="n">
        <v>2</v>
      </c>
      <c r="B32" s="4" t="inlineStr">
        <is>
          <t>Engagement 2 ans</t>
        </is>
      </c>
      <c r="C32" s="37" t="n">
        <v>0.1</v>
      </c>
      <c r="D32" s="38" t="n">
        <v>0.1</v>
      </c>
      <c r="E32" s="32">
        <f>IF(D32=C32,"","modifié")</f>
        <v/>
      </c>
      <c r="F32" s="20" t="inlineStr">
        <is>
          <t>Remise sur l'abonnement, chaque année</t>
        </is>
      </c>
    </row>
    <row r="33">
      <c r="A33" s="39" t="n">
        <v>3</v>
      </c>
      <c r="B33" s="4" t="inlineStr">
        <is>
          <t>Engagement 3 ans</t>
        </is>
      </c>
      <c r="C33" s="37" t="n">
        <v>0.15</v>
      </c>
      <c r="D33" s="38" t="n">
        <v>0.15</v>
      </c>
      <c r="E33" s="32">
        <f>IF(D33=C33,"","modifié")</f>
        <v/>
      </c>
      <c r="F33" s="20" t="inlineStr">
        <is>
          <t>Remise sur l'abonnement, chaque année</t>
        </is>
      </c>
    </row>
    <row r="34">
      <c r="A34" s="39" t="n">
        <v>4</v>
      </c>
      <c r="B34" s="4" t="inlineStr">
        <is>
          <t>Engagement 4 ans</t>
        </is>
      </c>
      <c r="C34" s="37" t="n">
        <v>0.2</v>
      </c>
      <c r="D34" s="38" t="n">
        <v>0.2</v>
      </c>
      <c r="E34" s="32">
        <f>IF(D34=C34,"","modifié")</f>
        <v/>
      </c>
      <c r="F34" s="20" t="inlineStr">
        <is>
          <t>Remise sur l'abonnement, chaque année</t>
        </is>
      </c>
    </row>
    <row r="35">
      <c r="B35" s="3" t="inlineStr">
        <is>
          <t>La mise en service</t>
        </is>
      </c>
    </row>
    <row r="36" ht="34" customHeight="1">
      <c r="B36" s="27" t="inlineStr">
        <is>
          <t>Facturée une seule fois, la première année, en mois d'abonnement au tarif obtenu. Un seuil d'habitants à zéro veut dire qu'elle n'est jamais offerte.</t>
        </is>
      </c>
    </row>
    <row r="37">
      <c r="B37" s="17" t="inlineStr">
        <is>
          <t>Réglage</t>
        </is>
      </c>
      <c r="C37" s="17" t="inlineStr">
        <is>
          <t>Sur le site</t>
        </is>
      </c>
      <c r="D37" s="17" t="inlineStr">
        <is>
          <t>Utilisé ici</t>
        </is>
      </c>
      <c r="E37" s="17" t="inlineStr">
        <is>
          <t>Écart</t>
        </is>
      </c>
      <c r="F37" s="17" t="inlineStr">
        <is>
          <t>Ce que cela veut dire</t>
        </is>
      </c>
    </row>
    <row r="38">
      <c r="B38" s="4" t="inlineStr">
        <is>
          <t>Mise en service, en mois d'abonnement</t>
        </is>
      </c>
      <c r="C38" s="40" t="n">
        <v>6</v>
      </c>
      <c r="D38" s="41" t="n">
        <v>6</v>
      </c>
      <c r="E38" s="32">
        <f>IF(D38=C38,"","modifié")</f>
        <v/>
      </c>
      <c r="F38" s="20" t="inlineStr"/>
    </row>
    <row r="39">
      <c r="B39" s="4" t="inlineStr">
        <is>
          <t>Mise en service offerte sous</t>
        </is>
      </c>
      <c r="C39" s="31" t="n">
        <v>0</v>
      </c>
      <c r="D39" s="8" t="n">
        <v>0</v>
      </c>
      <c r="E39" s="32">
        <f>IF(D39=C39,"","modifié")</f>
        <v/>
      </c>
      <c r="F39" s="20" t="inlineStr">
        <is>
          <t>habitants, zéro = jamais offerte</t>
        </is>
      </c>
    </row>
    <row r="40">
      <c r="B40" s="3" t="inlineStr">
        <is>
          <t>La fourchette affichée au public</t>
        </is>
      </c>
    </row>
    <row r="41" ht="49" customHeight="1">
      <c r="B41" s="27" t="inlineStr">
        <is>
          <t>Un visiteur du site ne voit pas le prix exact : une fourchette autour du prix, à plus ou moins cette marge, arrondie vers l'extérieur (à la dizaine sous 1 000 euros, à la centaine sous 10 000, au millier sous 100 000, à la dizaine de milliers au-delà). Vous voyez les deux dans ce classeur.</t>
        </is>
      </c>
    </row>
    <row r="42">
      <c r="B42" s="17" t="inlineStr">
        <is>
          <t>Réglage</t>
        </is>
      </c>
      <c r="C42" s="17" t="inlineStr">
        <is>
          <t>Sur le site</t>
        </is>
      </c>
      <c r="D42" s="17" t="inlineStr">
        <is>
          <t>Utilisé ici</t>
        </is>
      </c>
      <c r="E42" s="17" t="inlineStr">
        <is>
          <t>Écart</t>
        </is>
      </c>
      <c r="F42" s="17" t="inlineStr">
        <is>
          <t>Ce que cela veut dire</t>
        </is>
      </c>
    </row>
    <row r="43">
      <c r="B43" s="4" t="inlineStr">
        <is>
          <t>Marge de la fourchette</t>
        </is>
      </c>
      <c r="C43" s="37" t="n">
        <v>0.2</v>
      </c>
      <c r="D43" s="38" t="n">
        <v>0.2</v>
      </c>
      <c r="E43" s="32">
        <f>IF(D43=C43,"","modifié")</f>
        <v/>
      </c>
      <c r="F43" s="20" t="inlineStr">
        <is>
          <t>De part et d'autre du prix exact</t>
        </is>
      </c>
    </row>
    <row r="44">
      <c r="B44" s="3" t="inlineStr">
        <is>
          <t>Les seuils de la commande publique</t>
        </is>
      </c>
    </row>
    <row r="45" ht="34" customHeight="1">
      <c r="B45" s="27" t="inlineStr">
        <is>
          <t>Ils s'apprécient sur le total hors taxes de toute la durée, mise en service comprise. Ils ne se négocient pas : ils sont là pour lire le résultat.</t>
        </is>
      </c>
    </row>
    <row r="46">
      <c r="B46" s="17" t="inlineStr">
        <is>
          <t>Réglage</t>
        </is>
      </c>
      <c r="C46" s="17" t="inlineStr">
        <is>
          <t>Sur le site</t>
        </is>
      </c>
      <c r="D46" s="17" t="inlineStr">
        <is>
          <t>Utilisé ici</t>
        </is>
      </c>
      <c r="E46" s="17" t="inlineStr">
        <is>
          <t>Écart</t>
        </is>
      </c>
      <c r="F46" s="17" t="inlineStr">
        <is>
          <t>Ce que cela veut dire</t>
        </is>
      </c>
    </row>
    <row r="47">
      <c r="B47" s="4" t="inlineStr">
        <is>
          <t>Procédure adaptée</t>
        </is>
      </c>
      <c r="C47" s="33" t="n">
        <v>60000</v>
      </c>
      <c r="D47" s="34" t="n">
        <v>60000</v>
      </c>
      <c r="E47" s="32">
        <f>IF(D47=C47,"","modifié")</f>
        <v/>
      </c>
      <c r="F47" s="20" t="inlineStr">
        <is>
          <t>hors taxes, sur toute la durée</t>
        </is>
      </c>
    </row>
    <row r="48">
      <c r="B48" s="4" t="inlineStr">
        <is>
          <t>Publicité obligatoire</t>
        </is>
      </c>
      <c r="C48" s="33" t="n">
        <v>90000</v>
      </c>
      <c r="D48" s="34" t="n">
        <v>90000</v>
      </c>
      <c r="E48" s="32">
        <f>IF(D48=C48,"","modifié")</f>
        <v/>
      </c>
      <c r="F48" s="20" t="inlineStr">
        <is>
          <t>hors taxes, sur toute la durée</t>
        </is>
      </c>
    </row>
    <row r="49">
      <c r="B49" s="4" t="inlineStr">
        <is>
          <t>Procédure formalisée</t>
        </is>
      </c>
      <c r="C49" s="33" t="n">
        <v>216000</v>
      </c>
      <c r="D49" s="34" t="n">
        <v>216000</v>
      </c>
      <c r="E49" s="32">
        <f>IF(D49=C49,"","modifié")</f>
        <v/>
      </c>
      <c r="F49" s="20" t="inlineStr">
        <is>
          <t>hors taxes, sur toute la durée</t>
        </is>
      </c>
    </row>
    <row r="51">
      <c r="B51" s="27" t="inlineStr">
        <is>
          <t>Un mot « modifié » dans la colonne Écart signale que la valeur utilisée n'est plus celle du site. Le tableau de bord affiche le nombre de réglages modifiés.</t>
        </is>
      </c>
    </row>
  </sheetData>
  <sheetProtection selectLockedCells="0" selectUnlockedCells="0" sheet="1" objects="0" insertRows="1" insertHyperlinks="1" autoFilter="1" scenarios="0" formatColumns="0" deleteColumns="1" insertColumns="1" pivotTables="1" deleteRows="1" formatCells="1" formatRows="0" sort="1"/>
  <mergeCells count="9">
    <mergeCell ref="B7:F7"/>
    <mergeCell ref="B15:F15"/>
    <mergeCell ref="B28:F28"/>
    <mergeCell ref="B3:F3"/>
    <mergeCell ref="B51:F51"/>
    <mergeCell ref="B45:F45"/>
    <mergeCell ref="B23:F23"/>
    <mergeCell ref="B36:F36"/>
    <mergeCell ref="B41:F41"/>
  </mergeCells>
  <pageMargins left="0.75" right="0.75" top="1" bottom="1" header="0.5" footer="0.5"/>
</worksheet>
</file>

<file path=xl/worksheets/sheet4.xml><?xml version="1.0" encoding="utf-8"?>
<worksheet xmlns="http://schemas.openxmlformats.org/spreadsheetml/2006/main">
  <sheetPr>
    <outlinePr summaryBelow="1" summaryRight="0"/>
    <pageSetUpPr/>
  </sheetPr>
  <dimension ref="B2:AO22"/>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3" customWidth="1" min="1" max="1"/>
    <col width="12" customWidth="1" min="2" max="2"/>
    <col width="14"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8" customWidth="1" min="11" max="11"/>
    <col width="20" customWidth="1" min="12" max="12"/>
    <col width="26" customWidth="1" min="13" max="13"/>
    <col width="3" customWidth="1" min="15" max="15"/>
    <col hidden="1" outlineLevel="1" width="13" customWidth="1" min="16" max="16"/>
    <col hidden="1" outlineLevel="1" width="13" customWidth="1" min="17" max="17"/>
    <col hidden="1" outlineLevel="1" width="13" customWidth="1" min="18" max="18"/>
    <col hidden="1" outlineLevel="1" width="13" customWidth="1" min="19" max="19"/>
    <col hidden="1" outlineLevel="1" width="13" customWidth="1" min="20" max="20"/>
    <col hidden="1" outlineLevel="1" width="13" customWidth="1" min="21" max="21"/>
    <col hidden="1" outlineLevel="1" width="13" customWidth="1" min="22" max="22"/>
    <col hidden="1" outlineLevel="1" width="13" customWidth="1" min="23" max="23"/>
    <col hidden="1" outlineLevel="1" width="13" customWidth="1" min="24" max="24"/>
    <col hidden="1" outlineLevel="1" width="13" customWidth="1" min="25" max="25"/>
    <col hidden="1" outlineLevel="1" width="13" customWidth="1" min="26" max="26"/>
    <col hidden="1" outlineLevel="1" width="13" customWidth="1" min="27" max="27"/>
    <col hidden="1" outlineLevel="1" width="13" customWidth="1" min="28" max="28"/>
    <col hidden="1" outlineLevel="1" width="13" customWidth="1" min="29" max="29"/>
    <col hidden="1" outlineLevel="1" width="13" customWidth="1" min="30" max="30"/>
    <col hidden="1" outlineLevel="1" width="13" customWidth="1" min="31" max="31"/>
    <col hidden="1" outlineLevel="1" width="13" customWidth="1" min="32" max="32"/>
    <col hidden="1" outlineLevel="1" width="13" customWidth="1" min="33" max="33"/>
    <col hidden="1" outlineLevel="1" width="13" customWidth="1" min="34" max="34"/>
    <col hidden="1" outlineLevel="1" width="13" customWidth="1" min="35" max="35"/>
    <col hidden="1" outlineLevel="1" width="13" customWidth="1" min="36" max="36"/>
    <col hidden="1" outlineLevel="1" width="13" customWidth="1" min="37" max="37"/>
    <col hidden="1" outlineLevel="1" width="13" customWidth="1" min="38" max="38"/>
    <col hidden="1" outlineLevel="1" width="13" customWidth="1" min="39" max="39"/>
    <col hidden="1" outlineLevel="1" width="13" customWidth="1" min="40" max="40"/>
    <col hidden="1" outlineLevel="1" width="13" customWidth="1" min="41" max="41"/>
  </cols>
  <sheetData>
    <row r="2">
      <c r="B2" s="1" t="inlineStr">
        <is>
          <t>La grille sur toutes les tailles de communes</t>
        </is>
      </c>
    </row>
    <row r="3" ht="32" customHeight="1">
      <c r="B3" s="2" t="inlineStr">
        <is>
          <t>Prix mensuels hors taxes, avec la durée d'engagement choisie ci-dessous : chaque module pris seul, puis la suite complète des cinq modules avec sa remise multi-modules. Les populations se modifient.</t>
        </is>
      </c>
    </row>
    <row r="5">
      <c r="B5" s="4" t="inlineStr">
        <is>
          <t>Durée d'engagement appliquée à cette grille, en années</t>
        </is>
      </c>
      <c r="C5" s="16" t="n">
        <v>1</v>
      </c>
    </row>
    <row r="7" ht="46" customHeight="1">
      <c r="B7" s="17" t="inlineStr">
        <is>
          <t>Habitants</t>
        </is>
      </c>
      <c r="C7" s="17" t="inlineStr">
        <is>
          <t>Une unité de poids</t>
        </is>
      </c>
      <c r="D7" s="17" t="inlineStr">
        <is>
          <t>Carte des projets urbains seul</t>
        </is>
      </c>
      <c r="E7" s="17" t="inlineStr">
        <is>
          <t>Travaux du quotidien seul</t>
        </is>
      </c>
      <c r="F7" s="17" t="inlineStr">
        <is>
          <t>Chantiers et arrêtés seul</t>
        </is>
      </c>
      <c r="G7" s="17" t="inlineStr">
        <is>
          <t>Signalement seul</t>
        </is>
      </c>
      <c r="H7" s="17" t="inlineStr">
        <is>
          <t>Diagnostic terrain seul</t>
        </is>
      </c>
      <c r="I7" s="17" t="inlineStr">
        <is>
          <t>Les 5 modules, par mois</t>
        </is>
      </c>
      <c r="J7" s="17" t="inlineStr">
        <is>
          <t>Mise en service</t>
        </is>
      </c>
      <c r="K7" s="17" t="inlineStr">
        <is>
          <t>Total sur la durée</t>
        </is>
      </c>
      <c r="L7" s="17" t="inlineStr">
        <is>
          <t>Seuil dépassé</t>
        </is>
      </c>
      <c r="M7" s="17" t="inlineStr">
        <is>
          <t>Fourchette publique, par mois</t>
        </is>
      </c>
      <c r="P7" s="42" t="inlineStr">
        <is>
          <t>Population retenue</t>
        </is>
      </c>
      <c r="Q7" s="42" t="inlineStr">
        <is>
          <t>Prix d'une unité de poids</t>
        </is>
      </c>
      <c r="R7" s="42" t="inlineStr">
        <is>
          <t>Poids chantiers</t>
        </is>
      </c>
      <c r="S7" s="42" t="inlineStr">
        <is>
          <t>Prix Carte des projets urbains</t>
        </is>
      </c>
      <c r="T7" s="42" t="inlineStr">
        <is>
          <t>Prix Travaux du quotidien</t>
        </is>
      </c>
      <c r="U7" s="42" t="inlineStr">
        <is>
          <t>Prix Chantiers et arrêtés</t>
        </is>
      </c>
      <c r="V7" s="42" t="inlineStr">
        <is>
          <t>Prix Signalement</t>
        </is>
      </c>
      <c r="W7" s="42" t="inlineStr">
        <is>
          <t>Prix Diagnostic terrain</t>
        </is>
      </c>
      <c r="X7" s="42" t="inlineStr">
        <is>
          <t>Total avant remises</t>
        </is>
      </c>
      <c r="Y7" s="42" t="inlineStr">
        <is>
          <t>Modules retenus</t>
        </is>
      </c>
      <c r="Z7" s="42" t="inlineStr">
        <is>
          <t>Taux remise multi-modules</t>
        </is>
      </c>
      <c r="AA7" s="42" t="inlineStr">
        <is>
          <t>Remise multi-modules</t>
        </is>
      </c>
      <c r="AB7" s="42" t="inlineStr">
        <is>
          <t>Après remise multi-modules</t>
        </is>
      </c>
      <c r="AC7" s="42" t="inlineStr">
        <is>
          <t>Taux engagement</t>
        </is>
      </c>
      <c r="AD7" s="42" t="inlineStr">
        <is>
          <t>Remise engagement</t>
        </is>
      </c>
      <c r="AE7" s="42" t="inlineStr">
        <is>
          <t>Mensuel</t>
        </is>
      </c>
      <c r="AF7" s="42" t="inlineStr">
        <is>
          <t>Annuel</t>
        </is>
      </c>
      <c r="AG7" s="42" t="inlineStr">
        <is>
          <t>Mise en service</t>
        </is>
      </c>
      <c r="AH7" s="42" t="inlineStr">
        <is>
          <t>Total sur la durée</t>
        </is>
      </c>
      <c r="AI7" s="42" t="inlineStr">
        <is>
          <t>Seuil</t>
        </is>
      </c>
      <c r="AJ7" s="42" t="inlineStr">
        <is>
          <t>Pas d'arrondi (mensuel)</t>
        </is>
      </c>
      <c r="AK7" s="42" t="inlineStr">
        <is>
          <t>Fourchette basse (mensuel)</t>
        </is>
      </c>
      <c r="AL7" s="42" t="inlineStr">
        <is>
          <t>Fourchette haute (mensuel)</t>
        </is>
      </c>
      <c r="AM7" s="42" t="inlineStr">
        <is>
          <t>Pas d'arrondi (total)</t>
        </is>
      </c>
      <c r="AN7" s="42" t="inlineStr">
        <is>
          <t>Fourchette basse (total)</t>
        </is>
      </c>
      <c r="AO7" s="42" t="inlineStr">
        <is>
          <t>Fourchette haute (total)</t>
        </is>
      </c>
    </row>
    <row r="8">
      <c r="B8" s="8" t="n">
        <v>500</v>
      </c>
      <c r="C8" s="22">
        <f>Q8</f>
        <v/>
      </c>
      <c r="D8" s="22">
        <f>S8*(1-AC8)</f>
        <v/>
      </c>
      <c r="E8" s="22">
        <f>T8*(1-AC8)</f>
        <v/>
      </c>
      <c r="F8" s="22">
        <f>U8*(1-AC8)</f>
        <v/>
      </c>
      <c r="G8" s="22">
        <f>V8*(1-AC8)</f>
        <v/>
      </c>
      <c r="H8" s="22">
        <f>W8*(1-AC8)</f>
        <v/>
      </c>
      <c r="I8" s="26">
        <f>AE8</f>
        <v/>
      </c>
      <c r="J8" s="22">
        <f>AG8</f>
        <v/>
      </c>
      <c r="K8" s="22">
        <f>AH8</f>
        <v/>
      </c>
      <c r="L8" s="32">
        <f>AI8</f>
        <v/>
      </c>
      <c r="M8" s="32">
        <f>TRIM(TEXT(AK8,"# ##0"))&amp;" à "&amp;TRIM(TEXT(AL8,"# ##0"))&amp;" €"</f>
        <v/>
      </c>
      <c r="P8" s="43">
        <f>MIN(Population_maximum,MAX(Population_minimum,ROUND($B8,0)))</f>
        <v/>
      </c>
      <c r="Q8" s="44">
        <f>Prix_ancre*(P8/Population_ancre)^Exposant</f>
        <v/>
      </c>
      <c r="R8" s="45">
        <f>IF(P8&lt;=Chantiers_demi_poids_sous,Poids_chantiers/2,IF(P8&gt;=Chantiers_plein_poids_des,Poids_chantiers,Poids_chantiers*(0.5+0.5*(LN(P8)-LN(Chantiers_demi_poids_sous))/(LN(Chantiers_plein_poids_des)-LN(Chantiers_demi_poids_sous)))))</f>
        <v/>
      </c>
      <c r="S8" s="44">
        <f>Q8*Poids_carte</f>
        <v/>
      </c>
      <c r="T8" s="44">
        <f>Q8*Poids_travaux</f>
        <v/>
      </c>
      <c r="U8" s="44">
        <f>Q8*R8</f>
        <v/>
      </c>
      <c r="V8" s="44">
        <f>Q8*Poids_participer</f>
        <v/>
      </c>
      <c r="W8" s="44">
        <f>Q8*Poids_diagnostic</f>
        <v/>
      </c>
      <c r="X8" s="44">
        <f>SUM(S8:W8)</f>
        <v/>
      </c>
      <c r="Y8" s="46">
        <f>5</f>
        <v/>
      </c>
      <c r="Z8" s="47">
        <f>MIN(0.9,MAX(0,Y8-1)*Remise_par_module_ajoute)</f>
        <v/>
      </c>
      <c r="AA8" s="44">
        <f>MAX(S8:W8)*Z8</f>
        <v/>
      </c>
      <c r="AB8" s="44">
        <f>X8-AA8</f>
        <v/>
      </c>
      <c r="AC8" s="47">
        <f>IFERROR(VLOOKUP('Grille'!$C$5,Table_engagements,4,FALSE),0)</f>
        <v/>
      </c>
      <c r="AD8" s="44">
        <f>AB8*AC8</f>
        <v/>
      </c>
      <c r="AE8" s="44">
        <f>AB8-AD8</f>
        <v/>
      </c>
      <c r="AF8" s="44">
        <f>AE8*12</f>
        <v/>
      </c>
      <c r="AG8" s="44">
        <f>IF(P8&lt;Mise_en_service_offerte_sous,0,AE8*Mise_en_service_mois)</f>
        <v/>
      </c>
      <c r="AH8" s="44">
        <f>AG8+AF8*IF(N('Grille'!$C$5)&gt;0,'Grille'!$C$5,1)</f>
        <v/>
      </c>
      <c r="AI8" s="48">
        <f>IF(AH8&gt;=Seuil_3,"Procédure formalisée",IF(AH8&gt;=Seuil_2,"Publicité obligatoire",IF(AH8&gt;=Seuil_1,"Procédure adaptée","Sous les seuils")))</f>
        <v/>
      </c>
      <c r="AJ8" s="43">
        <f>IF(AE8&lt;1000,10,IF(AE8&lt;10000,100,IF(AE8&lt;100000,1000,10000)))</f>
        <v/>
      </c>
      <c r="AK8" s="44">
        <f>FLOOR(AE8*(1-Fourchette_marge),AJ8)</f>
        <v/>
      </c>
      <c r="AL8" s="44">
        <f>CEILING(AE8*(1+Fourchette_marge),AJ8)</f>
        <v/>
      </c>
      <c r="AM8" s="43">
        <f>IF(AH8&lt;1000,10,IF(AH8&lt;10000,100,IF(AH8&lt;100000,1000,10000)))</f>
        <v/>
      </c>
      <c r="AN8" s="44">
        <f>FLOOR(AH8*(1-Fourchette_marge),AM8)</f>
        <v/>
      </c>
      <c r="AO8" s="44">
        <f>CEILING(AH8*(1+Fourchette_marge),AM8)</f>
        <v/>
      </c>
    </row>
    <row r="9">
      <c r="B9" s="8" t="n">
        <v>800</v>
      </c>
      <c r="C9" s="22">
        <f>Q9</f>
        <v/>
      </c>
      <c r="D9" s="22">
        <f>S9*(1-AC9)</f>
        <v/>
      </c>
      <c r="E9" s="22">
        <f>T9*(1-AC9)</f>
        <v/>
      </c>
      <c r="F9" s="22">
        <f>U9*(1-AC9)</f>
        <v/>
      </c>
      <c r="G9" s="22">
        <f>V9*(1-AC9)</f>
        <v/>
      </c>
      <c r="H9" s="22">
        <f>W9*(1-AC9)</f>
        <v/>
      </c>
      <c r="I9" s="26">
        <f>AE9</f>
        <v/>
      </c>
      <c r="J9" s="22">
        <f>AG9</f>
        <v/>
      </c>
      <c r="K9" s="22">
        <f>AH9</f>
        <v/>
      </c>
      <c r="L9" s="32">
        <f>AI9</f>
        <v/>
      </c>
      <c r="M9" s="32">
        <f>TRIM(TEXT(AK9,"# ##0"))&amp;" à "&amp;TRIM(TEXT(AL9,"# ##0"))&amp;" €"</f>
        <v/>
      </c>
      <c r="P9" s="43">
        <f>MIN(Population_maximum,MAX(Population_minimum,ROUND($B9,0)))</f>
        <v/>
      </c>
      <c r="Q9" s="44">
        <f>Prix_ancre*(P9/Population_ancre)^Exposant</f>
        <v/>
      </c>
      <c r="R9" s="45">
        <f>IF(P9&lt;=Chantiers_demi_poids_sous,Poids_chantiers/2,IF(P9&gt;=Chantiers_plein_poids_des,Poids_chantiers,Poids_chantiers*(0.5+0.5*(LN(P9)-LN(Chantiers_demi_poids_sous))/(LN(Chantiers_plein_poids_des)-LN(Chantiers_demi_poids_sous)))))</f>
        <v/>
      </c>
      <c r="S9" s="44">
        <f>Q9*Poids_carte</f>
        <v/>
      </c>
      <c r="T9" s="44">
        <f>Q9*Poids_travaux</f>
        <v/>
      </c>
      <c r="U9" s="44">
        <f>Q9*R9</f>
        <v/>
      </c>
      <c r="V9" s="44">
        <f>Q9*Poids_participer</f>
        <v/>
      </c>
      <c r="W9" s="44">
        <f>Q9*Poids_diagnostic</f>
        <v/>
      </c>
      <c r="X9" s="44">
        <f>SUM(S9:W9)</f>
        <v/>
      </c>
      <c r="Y9" s="46">
        <f>5</f>
        <v/>
      </c>
      <c r="Z9" s="47">
        <f>MIN(0.9,MAX(0,Y9-1)*Remise_par_module_ajoute)</f>
        <v/>
      </c>
      <c r="AA9" s="44">
        <f>MAX(S9:W9)*Z9</f>
        <v/>
      </c>
      <c r="AB9" s="44">
        <f>X9-AA9</f>
        <v/>
      </c>
      <c r="AC9" s="47">
        <f>IFERROR(VLOOKUP('Grille'!$C$5,Table_engagements,4,FALSE),0)</f>
        <v/>
      </c>
      <c r="AD9" s="44">
        <f>AB9*AC9</f>
        <v/>
      </c>
      <c r="AE9" s="44">
        <f>AB9-AD9</f>
        <v/>
      </c>
      <c r="AF9" s="44">
        <f>AE9*12</f>
        <v/>
      </c>
      <c r="AG9" s="44">
        <f>IF(P9&lt;Mise_en_service_offerte_sous,0,AE9*Mise_en_service_mois)</f>
        <v/>
      </c>
      <c r="AH9" s="44">
        <f>AG9+AF9*IF(N('Grille'!$C$5)&gt;0,'Grille'!$C$5,1)</f>
        <v/>
      </c>
      <c r="AI9" s="48">
        <f>IF(AH9&gt;=Seuil_3,"Procédure formalisée",IF(AH9&gt;=Seuil_2,"Publicité obligatoire",IF(AH9&gt;=Seuil_1,"Procédure adaptée","Sous les seuils")))</f>
        <v/>
      </c>
      <c r="AJ9" s="43">
        <f>IF(AE9&lt;1000,10,IF(AE9&lt;10000,100,IF(AE9&lt;100000,1000,10000)))</f>
        <v/>
      </c>
      <c r="AK9" s="44">
        <f>FLOOR(AE9*(1-Fourchette_marge),AJ9)</f>
        <v/>
      </c>
      <c r="AL9" s="44">
        <f>CEILING(AE9*(1+Fourchette_marge),AJ9)</f>
        <v/>
      </c>
      <c r="AM9" s="43">
        <f>IF(AH9&lt;1000,10,IF(AH9&lt;10000,100,IF(AH9&lt;100000,1000,10000)))</f>
        <v/>
      </c>
      <c r="AN9" s="44">
        <f>FLOOR(AH9*(1-Fourchette_marge),AM9)</f>
        <v/>
      </c>
      <c r="AO9" s="44">
        <f>CEILING(AH9*(1+Fourchette_marge),AM9)</f>
        <v/>
      </c>
    </row>
    <row r="10">
      <c r="B10" s="8" t="n">
        <v>1500</v>
      </c>
      <c r="C10" s="22">
        <f>Q10</f>
        <v/>
      </c>
      <c r="D10" s="22">
        <f>S10*(1-AC10)</f>
        <v/>
      </c>
      <c r="E10" s="22">
        <f>T10*(1-AC10)</f>
        <v/>
      </c>
      <c r="F10" s="22">
        <f>U10*(1-AC10)</f>
        <v/>
      </c>
      <c r="G10" s="22">
        <f>V10*(1-AC10)</f>
        <v/>
      </c>
      <c r="H10" s="22">
        <f>W10*(1-AC10)</f>
        <v/>
      </c>
      <c r="I10" s="26">
        <f>AE10</f>
        <v/>
      </c>
      <c r="J10" s="22">
        <f>AG10</f>
        <v/>
      </c>
      <c r="K10" s="22">
        <f>AH10</f>
        <v/>
      </c>
      <c r="L10" s="32">
        <f>AI10</f>
        <v/>
      </c>
      <c r="M10" s="32">
        <f>TRIM(TEXT(AK10,"# ##0"))&amp;" à "&amp;TRIM(TEXT(AL10,"# ##0"))&amp;" €"</f>
        <v/>
      </c>
      <c r="P10" s="43">
        <f>MIN(Population_maximum,MAX(Population_minimum,ROUND($B10,0)))</f>
        <v/>
      </c>
      <c r="Q10" s="44">
        <f>Prix_ancre*(P10/Population_ancre)^Exposant</f>
        <v/>
      </c>
      <c r="R10" s="45">
        <f>IF(P10&lt;=Chantiers_demi_poids_sous,Poids_chantiers/2,IF(P10&gt;=Chantiers_plein_poids_des,Poids_chantiers,Poids_chantiers*(0.5+0.5*(LN(P10)-LN(Chantiers_demi_poids_sous))/(LN(Chantiers_plein_poids_des)-LN(Chantiers_demi_poids_sous)))))</f>
        <v/>
      </c>
      <c r="S10" s="44">
        <f>Q10*Poids_carte</f>
        <v/>
      </c>
      <c r="T10" s="44">
        <f>Q10*Poids_travaux</f>
        <v/>
      </c>
      <c r="U10" s="44">
        <f>Q10*R10</f>
        <v/>
      </c>
      <c r="V10" s="44">
        <f>Q10*Poids_participer</f>
        <v/>
      </c>
      <c r="W10" s="44">
        <f>Q10*Poids_diagnostic</f>
        <v/>
      </c>
      <c r="X10" s="44">
        <f>SUM(S10:W10)</f>
        <v/>
      </c>
      <c r="Y10" s="46">
        <f>5</f>
        <v/>
      </c>
      <c r="Z10" s="47">
        <f>MIN(0.9,MAX(0,Y10-1)*Remise_par_module_ajoute)</f>
        <v/>
      </c>
      <c r="AA10" s="44">
        <f>MAX(S10:W10)*Z10</f>
        <v/>
      </c>
      <c r="AB10" s="44">
        <f>X10-AA10</f>
        <v/>
      </c>
      <c r="AC10" s="47">
        <f>IFERROR(VLOOKUP('Grille'!$C$5,Table_engagements,4,FALSE),0)</f>
        <v/>
      </c>
      <c r="AD10" s="44">
        <f>AB10*AC10</f>
        <v/>
      </c>
      <c r="AE10" s="44">
        <f>AB10-AD10</f>
        <v/>
      </c>
      <c r="AF10" s="44">
        <f>AE10*12</f>
        <v/>
      </c>
      <c r="AG10" s="44">
        <f>IF(P10&lt;Mise_en_service_offerte_sous,0,AE10*Mise_en_service_mois)</f>
        <v/>
      </c>
      <c r="AH10" s="44">
        <f>AG10+AF10*IF(N('Grille'!$C$5)&gt;0,'Grille'!$C$5,1)</f>
        <v/>
      </c>
      <c r="AI10" s="48">
        <f>IF(AH10&gt;=Seuil_3,"Procédure formalisée",IF(AH10&gt;=Seuil_2,"Publicité obligatoire",IF(AH10&gt;=Seuil_1,"Procédure adaptée","Sous les seuils")))</f>
        <v/>
      </c>
      <c r="AJ10" s="43">
        <f>IF(AE10&lt;1000,10,IF(AE10&lt;10000,100,IF(AE10&lt;100000,1000,10000)))</f>
        <v/>
      </c>
      <c r="AK10" s="44">
        <f>FLOOR(AE10*(1-Fourchette_marge),AJ10)</f>
        <v/>
      </c>
      <c r="AL10" s="44">
        <f>CEILING(AE10*(1+Fourchette_marge),AJ10)</f>
        <v/>
      </c>
      <c r="AM10" s="43">
        <f>IF(AH10&lt;1000,10,IF(AH10&lt;10000,100,IF(AH10&lt;100000,1000,10000)))</f>
        <v/>
      </c>
      <c r="AN10" s="44">
        <f>FLOOR(AH10*(1-Fourchette_marge),AM10)</f>
        <v/>
      </c>
      <c r="AO10" s="44">
        <f>CEILING(AH10*(1+Fourchette_marge),AM10)</f>
        <v/>
      </c>
    </row>
    <row r="11">
      <c r="B11" s="8" t="n">
        <v>3000</v>
      </c>
      <c r="C11" s="22">
        <f>Q11</f>
        <v/>
      </c>
      <c r="D11" s="22">
        <f>S11*(1-AC11)</f>
        <v/>
      </c>
      <c r="E11" s="22">
        <f>T11*(1-AC11)</f>
        <v/>
      </c>
      <c r="F11" s="22">
        <f>U11*(1-AC11)</f>
        <v/>
      </c>
      <c r="G11" s="22">
        <f>V11*(1-AC11)</f>
        <v/>
      </c>
      <c r="H11" s="22">
        <f>W11*(1-AC11)</f>
        <v/>
      </c>
      <c r="I11" s="26">
        <f>AE11</f>
        <v/>
      </c>
      <c r="J11" s="22">
        <f>AG11</f>
        <v/>
      </c>
      <c r="K11" s="22">
        <f>AH11</f>
        <v/>
      </c>
      <c r="L11" s="32">
        <f>AI11</f>
        <v/>
      </c>
      <c r="M11" s="32">
        <f>TRIM(TEXT(AK11,"# ##0"))&amp;" à "&amp;TRIM(TEXT(AL11,"# ##0"))&amp;" €"</f>
        <v/>
      </c>
      <c r="P11" s="43">
        <f>MIN(Population_maximum,MAX(Population_minimum,ROUND($B11,0)))</f>
        <v/>
      </c>
      <c r="Q11" s="44">
        <f>Prix_ancre*(P11/Population_ancre)^Exposant</f>
        <v/>
      </c>
      <c r="R11" s="45">
        <f>IF(P11&lt;=Chantiers_demi_poids_sous,Poids_chantiers/2,IF(P11&gt;=Chantiers_plein_poids_des,Poids_chantiers,Poids_chantiers*(0.5+0.5*(LN(P11)-LN(Chantiers_demi_poids_sous))/(LN(Chantiers_plein_poids_des)-LN(Chantiers_demi_poids_sous)))))</f>
        <v/>
      </c>
      <c r="S11" s="44">
        <f>Q11*Poids_carte</f>
        <v/>
      </c>
      <c r="T11" s="44">
        <f>Q11*Poids_travaux</f>
        <v/>
      </c>
      <c r="U11" s="44">
        <f>Q11*R11</f>
        <v/>
      </c>
      <c r="V11" s="44">
        <f>Q11*Poids_participer</f>
        <v/>
      </c>
      <c r="W11" s="44">
        <f>Q11*Poids_diagnostic</f>
        <v/>
      </c>
      <c r="X11" s="44">
        <f>SUM(S11:W11)</f>
        <v/>
      </c>
      <c r="Y11" s="46">
        <f>5</f>
        <v/>
      </c>
      <c r="Z11" s="47">
        <f>MIN(0.9,MAX(0,Y11-1)*Remise_par_module_ajoute)</f>
        <v/>
      </c>
      <c r="AA11" s="44">
        <f>MAX(S11:W11)*Z11</f>
        <v/>
      </c>
      <c r="AB11" s="44">
        <f>X11-AA11</f>
        <v/>
      </c>
      <c r="AC11" s="47">
        <f>IFERROR(VLOOKUP('Grille'!$C$5,Table_engagements,4,FALSE),0)</f>
        <v/>
      </c>
      <c r="AD11" s="44">
        <f>AB11*AC11</f>
        <v/>
      </c>
      <c r="AE11" s="44">
        <f>AB11-AD11</f>
        <v/>
      </c>
      <c r="AF11" s="44">
        <f>AE11*12</f>
        <v/>
      </c>
      <c r="AG11" s="44">
        <f>IF(P11&lt;Mise_en_service_offerte_sous,0,AE11*Mise_en_service_mois)</f>
        <v/>
      </c>
      <c r="AH11" s="44">
        <f>AG11+AF11*IF(N('Grille'!$C$5)&gt;0,'Grille'!$C$5,1)</f>
        <v/>
      </c>
      <c r="AI11" s="48">
        <f>IF(AH11&gt;=Seuil_3,"Procédure formalisée",IF(AH11&gt;=Seuil_2,"Publicité obligatoire",IF(AH11&gt;=Seuil_1,"Procédure adaptée","Sous les seuils")))</f>
        <v/>
      </c>
      <c r="AJ11" s="43">
        <f>IF(AE11&lt;1000,10,IF(AE11&lt;10000,100,IF(AE11&lt;100000,1000,10000)))</f>
        <v/>
      </c>
      <c r="AK11" s="44">
        <f>FLOOR(AE11*(1-Fourchette_marge),AJ11)</f>
        <v/>
      </c>
      <c r="AL11" s="44">
        <f>CEILING(AE11*(1+Fourchette_marge),AJ11)</f>
        <v/>
      </c>
      <c r="AM11" s="43">
        <f>IF(AH11&lt;1000,10,IF(AH11&lt;10000,100,IF(AH11&lt;100000,1000,10000)))</f>
        <v/>
      </c>
      <c r="AN11" s="44">
        <f>FLOOR(AH11*(1-Fourchette_marge),AM11)</f>
        <v/>
      </c>
      <c r="AO11" s="44">
        <f>CEILING(AH11*(1+Fourchette_marge),AM11)</f>
        <v/>
      </c>
    </row>
    <row r="12">
      <c r="B12" s="8" t="n">
        <v>5000</v>
      </c>
      <c r="C12" s="22">
        <f>Q12</f>
        <v/>
      </c>
      <c r="D12" s="22">
        <f>S12*(1-AC12)</f>
        <v/>
      </c>
      <c r="E12" s="22">
        <f>T12*(1-AC12)</f>
        <v/>
      </c>
      <c r="F12" s="22">
        <f>U12*(1-AC12)</f>
        <v/>
      </c>
      <c r="G12" s="22">
        <f>V12*(1-AC12)</f>
        <v/>
      </c>
      <c r="H12" s="22">
        <f>W12*(1-AC12)</f>
        <v/>
      </c>
      <c r="I12" s="26">
        <f>AE12</f>
        <v/>
      </c>
      <c r="J12" s="22">
        <f>AG12</f>
        <v/>
      </c>
      <c r="K12" s="22">
        <f>AH12</f>
        <v/>
      </c>
      <c r="L12" s="32">
        <f>AI12</f>
        <v/>
      </c>
      <c r="M12" s="32">
        <f>TRIM(TEXT(AK12,"# ##0"))&amp;" à "&amp;TRIM(TEXT(AL12,"# ##0"))&amp;" €"</f>
        <v/>
      </c>
      <c r="P12" s="43">
        <f>MIN(Population_maximum,MAX(Population_minimum,ROUND($B12,0)))</f>
        <v/>
      </c>
      <c r="Q12" s="44">
        <f>Prix_ancre*(P12/Population_ancre)^Exposant</f>
        <v/>
      </c>
      <c r="R12" s="45">
        <f>IF(P12&lt;=Chantiers_demi_poids_sous,Poids_chantiers/2,IF(P12&gt;=Chantiers_plein_poids_des,Poids_chantiers,Poids_chantiers*(0.5+0.5*(LN(P12)-LN(Chantiers_demi_poids_sous))/(LN(Chantiers_plein_poids_des)-LN(Chantiers_demi_poids_sous)))))</f>
        <v/>
      </c>
      <c r="S12" s="44">
        <f>Q12*Poids_carte</f>
        <v/>
      </c>
      <c r="T12" s="44">
        <f>Q12*Poids_travaux</f>
        <v/>
      </c>
      <c r="U12" s="44">
        <f>Q12*R12</f>
        <v/>
      </c>
      <c r="V12" s="44">
        <f>Q12*Poids_participer</f>
        <v/>
      </c>
      <c r="W12" s="44">
        <f>Q12*Poids_diagnostic</f>
        <v/>
      </c>
      <c r="X12" s="44">
        <f>SUM(S12:W12)</f>
        <v/>
      </c>
      <c r="Y12" s="46">
        <f>5</f>
        <v/>
      </c>
      <c r="Z12" s="47">
        <f>MIN(0.9,MAX(0,Y12-1)*Remise_par_module_ajoute)</f>
        <v/>
      </c>
      <c r="AA12" s="44">
        <f>MAX(S12:W12)*Z12</f>
        <v/>
      </c>
      <c r="AB12" s="44">
        <f>X12-AA12</f>
        <v/>
      </c>
      <c r="AC12" s="47">
        <f>IFERROR(VLOOKUP('Grille'!$C$5,Table_engagements,4,FALSE),0)</f>
        <v/>
      </c>
      <c r="AD12" s="44">
        <f>AB12*AC12</f>
        <v/>
      </c>
      <c r="AE12" s="44">
        <f>AB12-AD12</f>
        <v/>
      </c>
      <c r="AF12" s="44">
        <f>AE12*12</f>
        <v/>
      </c>
      <c r="AG12" s="44">
        <f>IF(P12&lt;Mise_en_service_offerte_sous,0,AE12*Mise_en_service_mois)</f>
        <v/>
      </c>
      <c r="AH12" s="44">
        <f>AG12+AF12*IF(N('Grille'!$C$5)&gt;0,'Grille'!$C$5,1)</f>
        <v/>
      </c>
      <c r="AI12" s="48">
        <f>IF(AH12&gt;=Seuil_3,"Procédure formalisée",IF(AH12&gt;=Seuil_2,"Publicité obligatoire",IF(AH12&gt;=Seuil_1,"Procédure adaptée","Sous les seuils")))</f>
        <v/>
      </c>
      <c r="AJ12" s="43">
        <f>IF(AE12&lt;1000,10,IF(AE12&lt;10000,100,IF(AE12&lt;100000,1000,10000)))</f>
        <v/>
      </c>
      <c r="AK12" s="44">
        <f>FLOOR(AE12*(1-Fourchette_marge),AJ12)</f>
        <v/>
      </c>
      <c r="AL12" s="44">
        <f>CEILING(AE12*(1+Fourchette_marge),AJ12)</f>
        <v/>
      </c>
      <c r="AM12" s="43">
        <f>IF(AH12&lt;1000,10,IF(AH12&lt;10000,100,IF(AH12&lt;100000,1000,10000)))</f>
        <v/>
      </c>
      <c r="AN12" s="44">
        <f>FLOOR(AH12*(1-Fourchette_marge),AM12)</f>
        <v/>
      </c>
      <c r="AO12" s="44">
        <f>CEILING(AH12*(1+Fourchette_marge),AM12)</f>
        <v/>
      </c>
    </row>
    <row r="13">
      <c r="B13" s="8" t="n">
        <v>8000</v>
      </c>
      <c r="C13" s="22">
        <f>Q13</f>
        <v/>
      </c>
      <c r="D13" s="22">
        <f>S13*(1-AC13)</f>
        <v/>
      </c>
      <c r="E13" s="22">
        <f>T13*(1-AC13)</f>
        <v/>
      </c>
      <c r="F13" s="22">
        <f>U13*(1-AC13)</f>
        <v/>
      </c>
      <c r="G13" s="22">
        <f>V13*(1-AC13)</f>
        <v/>
      </c>
      <c r="H13" s="22">
        <f>W13*(1-AC13)</f>
        <v/>
      </c>
      <c r="I13" s="26">
        <f>AE13</f>
        <v/>
      </c>
      <c r="J13" s="22">
        <f>AG13</f>
        <v/>
      </c>
      <c r="K13" s="22">
        <f>AH13</f>
        <v/>
      </c>
      <c r="L13" s="32">
        <f>AI13</f>
        <v/>
      </c>
      <c r="M13" s="32">
        <f>TRIM(TEXT(AK13,"# ##0"))&amp;" à "&amp;TRIM(TEXT(AL13,"# ##0"))&amp;" €"</f>
        <v/>
      </c>
      <c r="P13" s="43">
        <f>MIN(Population_maximum,MAX(Population_minimum,ROUND($B13,0)))</f>
        <v/>
      </c>
      <c r="Q13" s="44">
        <f>Prix_ancre*(P13/Population_ancre)^Exposant</f>
        <v/>
      </c>
      <c r="R13" s="45">
        <f>IF(P13&lt;=Chantiers_demi_poids_sous,Poids_chantiers/2,IF(P13&gt;=Chantiers_plein_poids_des,Poids_chantiers,Poids_chantiers*(0.5+0.5*(LN(P13)-LN(Chantiers_demi_poids_sous))/(LN(Chantiers_plein_poids_des)-LN(Chantiers_demi_poids_sous)))))</f>
        <v/>
      </c>
      <c r="S13" s="44">
        <f>Q13*Poids_carte</f>
        <v/>
      </c>
      <c r="T13" s="44">
        <f>Q13*Poids_travaux</f>
        <v/>
      </c>
      <c r="U13" s="44">
        <f>Q13*R13</f>
        <v/>
      </c>
      <c r="V13" s="44">
        <f>Q13*Poids_participer</f>
        <v/>
      </c>
      <c r="W13" s="44">
        <f>Q13*Poids_diagnostic</f>
        <v/>
      </c>
      <c r="X13" s="44">
        <f>SUM(S13:W13)</f>
        <v/>
      </c>
      <c r="Y13" s="46">
        <f>5</f>
        <v/>
      </c>
      <c r="Z13" s="47">
        <f>MIN(0.9,MAX(0,Y13-1)*Remise_par_module_ajoute)</f>
        <v/>
      </c>
      <c r="AA13" s="44">
        <f>MAX(S13:W13)*Z13</f>
        <v/>
      </c>
      <c r="AB13" s="44">
        <f>X13-AA13</f>
        <v/>
      </c>
      <c r="AC13" s="47">
        <f>IFERROR(VLOOKUP('Grille'!$C$5,Table_engagements,4,FALSE),0)</f>
        <v/>
      </c>
      <c r="AD13" s="44">
        <f>AB13*AC13</f>
        <v/>
      </c>
      <c r="AE13" s="44">
        <f>AB13-AD13</f>
        <v/>
      </c>
      <c r="AF13" s="44">
        <f>AE13*12</f>
        <v/>
      </c>
      <c r="AG13" s="44">
        <f>IF(P13&lt;Mise_en_service_offerte_sous,0,AE13*Mise_en_service_mois)</f>
        <v/>
      </c>
      <c r="AH13" s="44">
        <f>AG13+AF13*IF(N('Grille'!$C$5)&gt;0,'Grille'!$C$5,1)</f>
        <v/>
      </c>
      <c r="AI13" s="48">
        <f>IF(AH13&gt;=Seuil_3,"Procédure formalisée",IF(AH13&gt;=Seuil_2,"Publicité obligatoire",IF(AH13&gt;=Seuil_1,"Procédure adaptée","Sous les seuils")))</f>
        <v/>
      </c>
      <c r="AJ13" s="43">
        <f>IF(AE13&lt;1000,10,IF(AE13&lt;10000,100,IF(AE13&lt;100000,1000,10000)))</f>
        <v/>
      </c>
      <c r="AK13" s="44">
        <f>FLOOR(AE13*(1-Fourchette_marge),AJ13)</f>
        <v/>
      </c>
      <c r="AL13" s="44">
        <f>CEILING(AE13*(1+Fourchette_marge),AJ13)</f>
        <v/>
      </c>
      <c r="AM13" s="43">
        <f>IF(AH13&lt;1000,10,IF(AH13&lt;10000,100,IF(AH13&lt;100000,1000,10000)))</f>
        <v/>
      </c>
      <c r="AN13" s="44">
        <f>FLOOR(AH13*(1-Fourchette_marge),AM13)</f>
        <v/>
      </c>
      <c r="AO13" s="44">
        <f>CEILING(AH13*(1+Fourchette_marge),AM13)</f>
        <v/>
      </c>
    </row>
    <row r="14">
      <c r="B14" s="8" t="n">
        <v>12000</v>
      </c>
      <c r="C14" s="22">
        <f>Q14</f>
        <v/>
      </c>
      <c r="D14" s="22">
        <f>S14*(1-AC14)</f>
        <v/>
      </c>
      <c r="E14" s="22">
        <f>T14*(1-AC14)</f>
        <v/>
      </c>
      <c r="F14" s="22">
        <f>U14*(1-AC14)</f>
        <v/>
      </c>
      <c r="G14" s="22">
        <f>V14*(1-AC14)</f>
        <v/>
      </c>
      <c r="H14" s="22">
        <f>W14*(1-AC14)</f>
        <v/>
      </c>
      <c r="I14" s="26">
        <f>AE14</f>
        <v/>
      </c>
      <c r="J14" s="22">
        <f>AG14</f>
        <v/>
      </c>
      <c r="K14" s="22">
        <f>AH14</f>
        <v/>
      </c>
      <c r="L14" s="32">
        <f>AI14</f>
        <v/>
      </c>
      <c r="M14" s="32">
        <f>TRIM(TEXT(AK14,"# ##0"))&amp;" à "&amp;TRIM(TEXT(AL14,"# ##0"))&amp;" €"</f>
        <v/>
      </c>
      <c r="P14" s="43">
        <f>MIN(Population_maximum,MAX(Population_minimum,ROUND($B14,0)))</f>
        <v/>
      </c>
      <c r="Q14" s="44">
        <f>Prix_ancre*(P14/Population_ancre)^Exposant</f>
        <v/>
      </c>
      <c r="R14" s="45">
        <f>IF(P14&lt;=Chantiers_demi_poids_sous,Poids_chantiers/2,IF(P14&gt;=Chantiers_plein_poids_des,Poids_chantiers,Poids_chantiers*(0.5+0.5*(LN(P14)-LN(Chantiers_demi_poids_sous))/(LN(Chantiers_plein_poids_des)-LN(Chantiers_demi_poids_sous)))))</f>
        <v/>
      </c>
      <c r="S14" s="44">
        <f>Q14*Poids_carte</f>
        <v/>
      </c>
      <c r="T14" s="44">
        <f>Q14*Poids_travaux</f>
        <v/>
      </c>
      <c r="U14" s="44">
        <f>Q14*R14</f>
        <v/>
      </c>
      <c r="V14" s="44">
        <f>Q14*Poids_participer</f>
        <v/>
      </c>
      <c r="W14" s="44">
        <f>Q14*Poids_diagnostic</f>
        <v/>
      </c>
      <c r="X14" s="44">
        <f>SUM(S14:W14)</f>
        <v/>
      </c>
      <c r="Y14" s="46">
        <f>5</f>
        <v/>
      </c>
      <c r="Z14" s="47">
        <f>MIN(0.9,MAX(0,Y14-1)*Remise_par_module_ajoute)</f>
        <v/>
      </c>
      <c r="AA14" s="44">
        <f>MAX(S14:W14)*Z14</f>
        <v/>
      </c>
      <c r="AB14" s="44">
        <f>X14-AA14</f>
        <v/>
      </c>
      <c r="AC14" s="47">
        <f>IFERROR(VLOOKUP('Grille'!$C$5,Table_engagements,4,FALSE),0)</f>
        <v/>
      </c>
      <c r="AD14" s="44">
        <f>AB14*AC14</f>
        <v/>
      </c>
      <c r="AE14" s="44">
        <f>AB14-AD14</f>
        <v/>
      </c>
      <c r="AF14" s="44">
        <f>AE14*12</f>
        <v/>
      </c>
      <c r="AG14" s="44">
        <f>IF(P14&lt;Mise_en_service_offerte_sous,0,AE14*Mise_en_service_mois)</f>
        <v/>
      </c>
      <c r="AH14" s="44">
        <f>AG14+AF14*IF(N('Grille'!$C$5)&gt;0,'Grille'!$C$5,1)</f>
        <v/>
      </c>
      <c r="AI14" s="48">
        <f>IF(AH14&gt;=Seuil_3,"Procédure formalisée",IF(AH14&gt;=Seuil_2,"Publicité obligatoire",IF(AH14&gt;=Seuil_1,"Procédure adaptée","Sous les seuils")))</f>
        <v/>
      </c>
      <c r="AJ14" s="43">
        <f>IF(AE14&lt;1000,10,IF(AE14&lt;10000,100,IF(AE14&lt;100000,1000,10000)))</f>
        <v/>
      </c>
      <c r="AK14" s="44">
        <f>FLOOR(AE14*(1-Fourchette_marge),AJ14)</f>
        <v/>
      </c>
      <c r="AL14" s="44">
        <f>CEILING(AE14*(1+Fourchette_marge),AJ14)</f>
        <v/>
      </c>
      <c r="AM14" s="43">
        <f>IF(AH14&lt;1000,10,IF(AH14&lt;10000,100,IF(AH14&lt;100000,1000,10000)))</f>
        <v/>
      </c>
      <c r="AN14" s="44">
        <f>FLOOR(AH14*(1-Fourchette_marge),AM14)</f>
        <v/>
      </c>
      <c r="AO14" s="44">
        <f>CEILING(AH14*(1+Fourchette_marge),AM14)</f>
        <v/>
      </c>
    </row>
    <row r="15">
      <c r="B15" s="8" t="n">
        <v>20000</v>
      </c>
      <c r="C15" s="22">
        <f>Q15</f>
        <v/>
      </c>
      <c r="D15" s="22">
        <f>S15*(1-AC15)</f>
        <v/>
      </c>
      <c r="E15" s="22">
        <f>T15*(1-AC15)</f>
        <v/>
      </c>
      <c r="F15" s="22">
        <f>U15*(1-AC15)</f>
        <v/>
      </c>
      <c r="G15" s="22">
        <f>V15*(1-AC15)</f>
        <v/>
      </c>
      <c r="H15" s="22">
        <f>W15*(1-AC15)</f>
        <v/>
      </c>
      <c r="I15" s="26">
        <f>AE15</f>
        <v/>
      </c>
      <c r="J15" s="22">
        <f>AG15</f>
        <v/>
      </c>
      <c r="K15" s="22">
        <f>AH15</f>
        <v/>
      </c>
      <c r="L15" s="32">
        <f>AI15</f>
        <v/>
      </c>
      <c r="M15" s="32">
        <f>TRIM(TEXT(AK15,"# ##0"))&amp;" à "&amp;TRIM(TEXT(AL15,"# ##0"))&amp;" €"</f>
        <v/>
      </c>
      <c r="P15" s="43">
        <f>MIN(Population_maximum,MAX(Population_minimum,ROUND($B15,0)))</f>
        <v/>
      </c>
      <c r="Q15" s="44">
        <f>Prix_ancre*(P15/Population_ancre)^Exposant</f>
        <v/>
      </c>
      <c r="R15" s="45">
        <f>IF(P15&lt;=Chantiers_demi_poids_sous,Poids_chantiers/2,IF(P15&gt;=Chantiers_plein_poids_des,Poids_chantiers,Poids_chantiers*(0.5+0.5*(LN(P15)-LN(Chantiers_demi_poids_sous))/(LN(Chantiers_plein_poids_des)-LN(Chantiers_demi_poids_sous)))))</f>
        <v/>
      </c>
      <c r="S15" s="44">
        <f>Q15*Poids_carte</f>
        <v/>
      </c>
      <c r="T15" s="44">
        <f>Q15*Poids_travaux</f>
        <v/>
      </c>
      <c r="U15" s="44">
        <f>Q15*R15</f>
        <v/>
      </c>
      <c r="V15" s="44">
        <f>Q15*Poids_participer</f>
        <v/>
      </c>
      <c r="W15" s="44">
        <f>Q15*Poids_diagnostic</f>
        <v/>
      </c>
      <c r="X15" s="44">
        <f>SUM(S15:W15)</f>
        <v/>
      </c>
      <c r="Y15" s="46">
        <f>5</f>
        <v/>
      </c>
      <c r="Z15" s="47">
        <f>MIN(0.9,MAX(0,Y15-1)*Remise_par_module_ajoute)</f>
        <v/>
      </c>
      <c r="AA15" s="44">
        <f>MAX(S15:W15)*Z15</f>
        <v/>
      </c>
      <c r="AB15" s="44">
        <f>X15-AA15</f>
        <v/>
      </c>
      <c r="AC15" s="47">
        <f>IFERROR(VLOOKUP('Grille'!$C$5,Table_engagements,4,FALSE),0)</f>
        <v/>
      </c>
      <c r="AD15" s="44">
        <f>AB15*AC15</f>
        <v/>
      </c>
      <c r="AE15" s="44">
        <f>AB15-AD15</f>
        <v/>
      </c>
      <c r="AF15" s="44">
        <f>AE15*12</f>
        <v/>
      </c>
      <c r="AG15" s="44">
        <f>IF(P15&lt;Mise_en_service_offerte_sous,0,AE15*Mise_en_service_mois)</f>
        <v/>
      </c>
      <c r="AH15" s="44">
        <f>AG15+AF15*IF(N('Grille'!$C$5)&gt;0,'Grille'!$C$5,1)</f>
        <v/>
      </c>
      <c r="AI15" s="48">
        <f>IF(AH15&gt;=Seuil_3,"Procédure formalisée",IF(AH15&gt;=Seuil_2,"Publicité obligatoire",IF(AH15&gt;=Seuil_1,"Procédure adaptée","Sous les seuils")))</f>
        <v/>
      </c>
      <c r="AJ15" s="43">
        <f>IF(AE15&lt;1000,10,IF(AE15&lt;10000,100,IF(AE15&lt;100000,1000,10000)))</f>
        <v/>
      </c>
      <c r="AK15" s="44">
        <f>FLOOR(AE15*(1-Fourchette_marge),AJ15)</f>
        <v/>
      </c>
      <c r="AL15" s="44">
        <f>CEILING(AE15*(1+Fourchette_marge),AJ15)</f>
        <v/>
      </c>
      <c r="AM15" s="43">
        <f>IF(AH15&lt;1000,10,IF(AH15&lt;10000,100,IF(AH15&lt;100000,1000,10000)))</f>
        <v/>
      </c>
      <c r="AN15" s="44">
        <f>FLOOR(AH15*(1-Fourchette_marge),AM15)</f>
        <v/>
      </c>
      <c r="AO15" s="44">
        <f>CEILING(AH15*(1+Fourchette_marge),AM15)</f>
        <v/>
      </c>
    </row>
    <row r="16">
      <c r="B16" s="8" t="n">
        <v>35000</v>
      </c>
      <c r="C16" s="22">
        <f>Q16</f>
        <v/>
      </c>
      <c r="D16" s="22">
        <f>S16*(1-AC16)</f>
        <v/>
      </c>
      <c r="E16" s="22">
        <f>T16*(1-AC16)</f>
        <v/>
      </c>
      <c r="F16" s="22">
        <f>U16*(1-AC16)</f>
        <v/>
      </c>
      <c r="G16" s="22">
        <f>V16*(1-AC16)</f>
        <v/>
      </c>
      <c r="H16" s="22">
        <f>W16*(1-AC16)</f>
        <v/>
      </c>
      <c r="I16" s="26">
        <f>AE16</f>
        <v/>
      </c>
      <c r="J16" s="22">
        <f>AG16</f>
        <v/>
      </c>
      <c r="K16" s="22">
        <f>AH16</f>
        <v/>
      </c>
      <c r="L16" s="32">
        <f>AI16</f>
        <v/>
      </c>
      <c r="M16" s="32">
        <f>TRIM(TEXT(AK16,"# ##0"))&amp;" à "&amp;TRIM(TEXT(AL16,"# ##0"))&amp;" €"</f>
        <v/>
      </c>
      <c r="P16" s="43">
        <f>MIN(Population_maximum,MAX(Population_minimum,ROUND($B16,0)))</f>
        <v/>
      </c>
      <c r="Q16" s="44">
        <f>Prix_ancre*(P16/Population_ancre)^Exposant</f>
        <v/>
      </c>
      <c r="R16" s="45">
        <f>IF(P16&lt;=Chantiers_demi_poids_sous,Poids_chantiers/2,IF(P16&gt;=Chantiers_plein_poids_des,Poids_chantiers,Poids_chantiers*(0.5+0.5*(LN(P16)-LN(Chantiers_demi_poids_sous))/(LN(Chantiers_plein_poids_des)-LN(Chantiers_demi_poids_sous)))))</f>
        <v/>
      </c>
      <c r="S16" s="44">
        <f>Q16*Poids_carte</f>
        <v/>
      </c>
      <c r="T16" s="44">
        <f>Q16*Poids_travaux</f>
        <v/>
      </c>
      <c r="U16" s="44">
        <f>Q16*R16</f>
        <v/>
      </c>
      <c r="V16" s="44">
        <f>Q16*Poids_participer</f>
        <v/>
      </c>
      <c r="W16" s="44">
        <f>Q16*Poids_diagnostic</f>
        <v/>
      </c>
      <c r="X16" s="44">
        <f>SUM(S16:W16)</f>
        <v/>
      </c>
      <c r="Y16" s="46">
        <f>5</f>
        <v/>
      </c>
      <c r="Z16" s="47">
        <f>MIN(0.9,MAX(0,Y16-1)*Remise_par_module_ajoute)</f>
        <v/>
      </c>
      <c r="AA16" s="44">
        <f>MAX(S16:W16)*Z16</f>
        <v/>
      </c>
      <c r="AB16" s="44">
        <f>X16-AA16</f>
        <v/>
      </c>
      <c r="AC16" s="47">
        <f>IFERROR(VLOOKUP('Grille'!$C$5,Table_engagements,4,FALSE),0)</f>
        <v/>
      </c>
      <c r="AD16" s="44">
        <f>AB16*AC16</f>
        <v/>
      </c>
      <c r="AE16" s="44">
        <f>AB16-AD16</f>
        <v/>
      </c>
      <c r="AF16" s="44">
        <f>AE16*12</f>
        <v/>
      </c>
      <c r="AG16" s="44">
        <f>IF(P16&lt;Mise_en_service_offerte_sous,0,AE16*Mise_en_service_mois)</f>
        <v/>
      </c>
      <c r="AH16" s="44">
        <f>AG16+AF16*IF(N('Grille'!$C$5)&gt;0,'Grille'!$C$5,1)</f>
        <v/>
      </c>
      <c r="AI16" s="48">
        <f>IF(AH16&gt;=Seuil_3,"Procédure formalisée",IF(AH16&gt;=Seuil_2,"Publicité obligatoire",IF(AH16&gt;=Seuil_1,"Procédure adaptée","Sous les seuils")))</f>
        <v/>
      </c>
      <c r="AJ16" s="43">
        <f>IF(AE16&lt;1000,10,IF(AE16&lt;10000,100,IF(AE16&lt;100000,1000,10000)))</f>
        <v/>
      </c>
      <c r="AK16" s="44">
        <f>FLOOR(AE16*(1-Fourchette_marge),AJ16)</f>
        <v/>
      </c>
      <c r="AL16" s="44">
        <f>CEILING(AE16*(1+Fourchette_marge),AJ16)</f>
        <v/>
      </c>
      <c r="AM16" s="43">
        <f>IF(AH16&lt;1000,10,IF(AH16&lt;10000,100,IF(AH16&lt;100000,1000,10000)))</f>
        <v/>
      </c>
      <c r="AN16" s="44">
        <f>FLOOR(AH16*(1-Fourchette_marge),AM16)</f>
        <v/>
      </c>
      <c r="AO16" s="44">
        <f>CEILING(AH16*(1+Fourchette_marge),AM16)</f>
        <v/>
      </c>
    </row>
    <row r="17">
      <c r="B17" s="8" t="n">
        <v>50000</v>
      </c>
      <c r="C17" s="22">
        <f>Q17</f>
        <v/>
      </c>
      <c r="D17" s="22">
        <f>S17*(1-AC17)</f>
        <v/>
      </c>
      <c r="E17" s="22">
        <f>T17*(1-AC17)</f>
        <v/>
      </c>
      <c r="F17" s="22">
        <f>U17*(1-AC17)</f>
        <v/>
      </c>
      <c r="G17" s="22">
        <f>V17*(1-AC17)</f>
        <v/>
      </c>
      <c r="H17" s="22">
        <f>W17*(1-AC17)</f>
        <v/>
      </c>
      <c r="I17" s="26">
        <f>AE17</f>
        <v/>
      </c>
      <c r="J17" s="22">
        <f>AG17</f>
        <v/>
      </c>
      <c r="K17" s="22">
        <f>AH17</f>
        <v/>
      </c>
      <c r="L17" s="32">
        <f>AI17</f>
        <v/>
      </c>
      <c r="M17" s="32">
        <f>TRIM(TEXT(AK17,"# ##0"))&amp;" à "&amp;TRIM(TEXT(AL17,"# ##0"))&amp;" €"</f>
        <v/>
      </c>
      <c r="P17" s="43">
        <f>MIN(Population_maximum,MAX(Population_minimum,ROUND($B17,0)))</f>
        <v/>
      </c>
      <c r="Q17" s="44">
        <f>Prix_ancre*(P17/Population_ancre)^Exposant</f>
        <v/>
      </c>
      <c r="R17" s="45">
        <f>IF(P17&lt;=Chantiers_demi_poids_sous,Poids_chantiers/2,IF(P17&gt;=Chantiers_plein_poids_des,Poids_chantiers,Poids_chantiers*(0.5+0.5*(LN(P17)-LN(Chantiers_demi_poids_sous))/(LN(Chantiers_plein_poids_des)-LN(Chantiers_demi_poids_sous)))))</f>
        <v/>
      </c>
      <c r="S17" s="44">
        <f>Q17*Poids_carte</f>
        <v/>
      </c>
      <c r="T17" s="44">
        <f>Q17*Poids_travaux</f>
        <v/>
      </c>
      <c r="U17" s="44">
        <f>Q17*R17</f>
        <v/>
      </c>
      <c r="V17" s="44">
        <f>Q17*Poids_participer</f>
        <v/>
      </c>
      <c r="W17" s="44">
        <f>Q17*Poids_diagnostic</f>
        <v/>
      </c>
      <c r="X17" s="44">
        <f>SUM(S17:W17)</f>
        <v/>
      </c>
      <c r="Y17" s="46">
        <f>5</f>
        <v/>
      </c>
      <c r="Z17" s="47">
        <f>MIN(0.9,MAX(0,Y17-1)*Remise_par_module_ajoute)</f>
        <v/>
      </c>
      <c r="AA17" s="44">
        <f>MAX(S17:W17)*Z17</f>
        <v/>
      </c>
      <c r="AB17" s="44">
        <f>X17-AA17</f>
        <v/>
      </c>
      <c r="AC17" s="47">
        <f>IFERROR(VLOOKUP('Grille'!$C$5,Table_engagements,4,FALSE),0)</f>
        <v/>
      </c>
      <c r="AD17" s="44">
        <f>AB17*AC17</f>
        <v/>
      </c>
      <c r="AE17" s="44">
        <f>AB17-AD17</f>
        <v/>
      </c>
      <c r="AF17" s="44">
        <f>AE17*12</f>
        <v/>
      </c>
      <c r="AG17" s="44">
        <f>IF(P17&lt;Mise_en_service_offerte_sous,0,AE17*Mise_en_service_mois)</f>
        <v/>
      </c>
      <c r="AH17" s="44">
        <f>AG17+AF17*IF(N('Grille'!$C$5)&gt;0,'Grille'!$C$5,1)</f>
        <v/>
      </c>
      <c r="AI17" s="48">
        <f>IF(AH17&gt;=Seuil_3,"Procédure formalisée",IF(AH17&gt;=Seuil_2,"Publicité obligatoire",IF(AH17&gt;=Seuil_1,"Procédure adaptée","Sous les seuils")))</f>
        <v/>
      </c>
      <c r="AJ17" s="43">
        <f>IF(AE17&lt;1000,10,IF(AE17&lt;10000,100,IF(AE17&lt;100000,1000,10000)))</f>
        <v/>
      </c>
      <c r="AK17" s="44">
        <f>FLOOR(AE17*(1-Fourchette_marge),AJ17)</f>
        <v/>
      </c>
      <c r="AL17" s="44">
        <f>CEILING(AE17*(1+Fourchette_marge),AJ17)</f>
        <v/>
      </c>
      <c r="AM17" s="43">
        <f>IF(AH17&lt;1000,10,IF(AH17&lt;10000,100,IF(AH17&lt;100000,1000,10000)))</f>
        <v/>
      </c>
      <c r="AN17" s="44">
        <f>FLOOR(AH17*(1-Fourchette_marge),AM17)</f>
        <v/>
      </c>
      <c r="AO17" s="44">
        <f>CEILING(AH17*(1+Fourchette_marge),AM17)</f>
        <v/>
      </c>
    </row>
    <row r="18">
      <c r="B18" s="8" t="n">
        <v>80000</v>
      </c>
      <c r="C18" s="22">
        <f>Q18</f>
        <v/>
      </c>
      <c r="D18" s="22">
        <f>S18*(1-AC18)</f>
        <v/>
      </c>
      <c r="E18" s="22">
        <f>T18*(1-AC18)</f>
        <v/>
      </c>
      <c r="F18" s="22">
        <f>U18*(1-AC18)</f>
        <v/>
      </c>
      <c r="G18" s="22">
        <f>V18*(1-AC18)</f>
        <v/>
      </c>
      <c r="H18" s="22">
        <f>W18*(1-AC18)</f>
        <v/>
      </c>
      <c r="I18" s="26">
        <f>AE18</f>
        <v/>
      </c>
      <c r="J18" s="22">
        <f>AG18</f>
        <v/>
      </c>
      <c r="K18" s="22">
        <f>AH18</f>
        <v/>
      </c>
      <c r="L18" s="32">
        <f>AI18</f>
        <v/>
      </c>
      <c r="M18" s="32">
        <f>TRIM(TEXT(AK18,"# ##0"))&amp;" à "&amp;TRIM(TEXT(AL18,"# ##0"))&amp;" €"</f>
        <v/>
      </c>
      <c r="P18" s="43">
        <f>MIN(Population_maximum,MAX(Population_minimum,ROUND($B18,0)))</f>
        <v/>
      </c>
      <c r="Q18" s="44">
        <f>Prix_ancre*(P18/Population_ancre)^Exposant</f>
        <v/>
      </c>
      <c r="R18" s="45">
        <f>IF(P18&lt;=Chantiers_demi_poids_sous,Poids_chantiers/2,IF(P18&gt;=Chantiers_plein_poids_des,Poids_chantiers,Poids_chantiers*(0.5+0.5*(LN(P18)-LN(Chantiers_demi_poids_sous))/(LN(Chantiers_plein_poids_des)-LN(Chantiers_demi_poids_sous)))))</f>
        <v/>
      </c>
      <c r="S18" s="44">
        <f>Q18*Poids_carte</f>
        <v/>
      </c>
      <c r="T18" s="44">
        <f>Q18*Poids_travaux</f>
        <v/>
      </c>
      <c r="U18" s="44">
        <f>Q18*R18</f>
        <v/>
      </c>
      <c r="V18" s="44">
        <f>Q18*Poids_participer</f>
        <v/>
      </c>
      <c r="W18" s="44">
        <f>Q18*Poids_diagnostic</f>
        <v/>
      </c>
      <c r="X18" s="44">
        <f>SUM(S18:W18)</f>
        <v/>
      </c>
      <c r="Y18" s="46">
        <f>5</f>
        <v/>
      </c>
      <c r="Z18" s="47">
        <f>MIN(0.9,MAX(0,Y18-1)*Remise_par_module_ajoute)</f>
        <v/>
      </c>
      <c r="AA18" s="44">
        <f>MAX(S18:W18)*Z18</f>
        <v/>
      </c>
      <c r="AB18" s="44">
        <f>X18-AA18</f>
        <v/>
      </c>
      <c r="AC18" s="47">
        <f>IFERROR(VLOOKUP('Grille'!$C$5,Table_engagements,4,FALSE),0)</f>
        <v/>
      </c>
      <c r="AD18" s="44">
        <f>AB18*AC18</f>
        <v/>
      </c>
      <c r="AE18" s="44">
        <f>AB18-AD18</f>
        <v/>
      </c>
      <c r="AF18" s="44">
        <f>AE18*12</f>
        <v/>
      </c>
      <c r="AG18" s="44">
        <f>IF(P18&lt;Mise_en_service_offerte_sous,0,AE18*Mise_en_service_mois)</f>
        <v/>
      </c>
      <c r="AH18" s="44">
        <f>AG18+AF18*IF(N('Grille'!$C$5)&gt;0,'Grille'!$C$5,1)</f>
        <v/>
      </c>
      <c r="AI18" s="48">
        <f>IF(AH18&gt;=Seuil_3,"Procédure formalisée",IF(AH18&gt;=Seuil_2,"Publicité obligatoire",IF(AH18&gt;=Seuil_1,"Procédure adaptée","Sous les seuils")))</f>
        <v/>
      </c>
      <c r="AJ18" s="43">
        <f>IF(AE18&lt;1000,10,IF(AE18&lt;10000,100,IF(AE18&lt;100000,1000,10000)))</f>
        <v/>
      </c>
      <c r="AK18" s="44">
        <f>FLOOR(AE18*(1-Fourchette_marge),AJ18)</f>
        <v/>
      </c>
      <c r="AL18" s="44">
        <f>CEILING(AE18*(1+Fourchette_marge),AJ18)</f>
        <v/>
      </c>
      <c r="AM18" s="43">
        <f>IF(AH18&lt;1000,10,IF(AH18&lt;10000,100,IF(AH18&lt;100000,1000,10000)))</f>
        <v/>
      </c>
      <c r="AN18" s="44">
        <f>FLOOR(AH18*(1-Fourchette_marge),AM18)</f>
        <v/>
      </c>
      <c r="AO18" s="44">
        <f>CEILING(AH18*(1+Fourchette_marge),AM18)</f>
        <v/>
      </c>
    </row>
    <row r="19">
      <c r="B19" s="8" t="n">
        <v>150000</v>
      </c>
      <c r="C19" s="22">
        <f>Q19</f>
        <v/>
      </c>
      <c r="D19" s="22">
        <f>S19*(1-AC19)</f>
        <v/>
      </c>
      <c r="E19" s="22">
        <f>T19*(1-AC19)</f>
        <v/>
      </c>
      <c r="F19" s="22">
        <f>U19*(1-AC19)</f>
        <v/>
      </c>
      <c r="G19" s="22">
        <f>V19*(1-AC19)</f>
        <v/>
      </c>
      <c r="H19" s="22">
        <f>W19*(1-AC19)</f>
        <v/>
      </c>
      <c r="I19" s="26">
        <f>AE19</f>
        <v/>
      </c>
      <c r="J19" s="22">
        <f>AG19</f>
        <v/>
      </c>
      <c r="K19" s="22">
        <f>AH19</f>
        <v/>
      </c>
      <c r="L19" s="32">
        <f>AI19</f>
        <v/>
      </c>
      <c r="M19" s="32">
        <f>TRIM(TEXT(AK19,"# ##0"))&amp;" à "&amp;TRIM(TEXT(AL19,"# ##0"))&amp;" €"</f>
        <v/>
      </c>
      <c r="P19" s="43">
        <f>MIN(Population_maximum,MAX(Population_minimum,ROUND($B19,0)))</f>
        <v/>
      </c>
      <c r="Q19" s="44">
        <f>Prix_ancre*(P19/Population_ancre)^Exposant</f>
        <v/>
      </c>
      <c r="R19" s="45">
        <f>IF(P19&lt;=Chantiers_demi_poids_sous,Poids_chantiers/2,IF(P19&gt;=Chantiers_plein_poids_des,Poids_chantiers,Poids_chantiers*(0.5+0.5*(LN(P19)-LN(Chantiers_demi_poids_sous))/(LN(Chantiers_plein_poids_des)-LN(Chantiers_demi_poids_sous)))))</f>
        <v/>
      </c>
      <c r="S19" s="44">
        <f>Q19*Poids_carte</f>
        <v/>
      </c>
      <c r="T19" s="44">
        <f>Q19*Poids_travaux</f>
        <v/>
      </c>
      <c r="U19" s="44">
        <f>Q19*R19</f>
        <v/>
      </c>
      <c r="V19" s="44">
        <f>Q19*Poids_participer</f>
        <v/>
      </c>
      <c r="W19" s="44">
        <f>Q19*Poids_diagnostic</f>
        <v/>
      </c>
      <c r="X19" s="44">
        <f>SUM(S19:W19)</f>
        <v/>
      </c>
      <c r="Y19" s="46">
        <f>5</f>
        <v/>
      </c>
      <c r="Z19" s="47">
        <f>MIN(0.9,MAX(0,Y19-1)*Remise_par_module_ajoute)</f>
        <v/>
      </c>
      <c r="AA19" s="44">
        <f>MAX(S19:W19)*Z19</f>
        <v/>
      </c>
      <c r="AB19" s="44">
        <f>X19-AA19</f>
        <v/>
      </c>
      <c r="AC19" s="47">
        <f>IFERROR(VLOOKUP('Grille'!$C$5,Table_engagements,4,FALSE),0)</f>
        <v/>
      </c>
      <c r="AD19" s="44">
        <f>AB19*AC19</f>
        <v/>
      </c>
      <c r="AE19" s="44">
        <f>AB19-AD19</f>
        <v/>
      </c>
      <c r="AF19" s="44">
        <f>AE19*12</f>
        <v/>
      </c>
      <c r="AG19" s="44">
        <f>IF(P19&lt;Mise_en_service_offerte_sous,0,AE19*Mise_en_service_mois)</f>
        <v/>
      </c>
      <c r="AH19" s="44">
        <f>AG19+AF19*IF(N('Grille'!$C$5)&gt;0,'Grille'!$C$5,1)</f>
        <v/>
      </c>
      <c r="AI19" s="48">
        <f>IF(AH19&gt;=Seuil_3,"Procédure formalisée",IF(AH19&gt;=Seuil_2,"Publicité obligatoire",IF(AH19&gt;=Seuil_1,"Procédure adaptée","Sous les seuils")))</f>
        <v/>
      </c>
      <c r="AJ19" s="43">
        <f>IF(AE19&lt;1000,10,IF(AE19&lt;10000,100,IF(AE19&lt;100000,1000,10000)))</f>
        <v/>
      </c>
      <c r="AK19" s="44">
        <f>FLOOR(AE19*(1-Fourchette_marge),AJ19)</f>
        <v/>
      </c>
      <c r="AL19" s="44">
        <f>CEILING(AE19*(1+Fourchette_marge),AJ19)</f>
        <v/>
      </c>
      <c r="AM19" s="43">
        <f>IF(AH19&lt;1000,10,IF(AH19&lt;10000,100,IF(AH19&lt;100000,1000,10000)))</f>
        <v/>
      </c>
      <c r="AN19" s="44">
        <f>FLOOR(AH19*(1-Fourchette_marge),AM19)</f>
        <v/>
      </c>
      <c r="AO19" s="44">
        <f>CEILING(AH19*(1+Fourchette_marge),AM19)</f>
        <v/>
      </c>
    </row>
    <row r="20">
      <c r="B20" s="8" t="n">
        <v>300000</v>
      </c>
      <c r="C20" s="22">
        <f>Q20</f>
        <v/>
      </c>
      <c r="D20" s="22">
        <f>S20*(1-AC20)</f>
        <v/>
      </c>
      <c r="E20" s="22">
        <f>T20*(1-AC20)</f>
        <v/>
      </c>
      <c r="F20" s="22">
        <f>U20*(1-AC20)</f>
        <v/>
      </c>
      <c r="G20" s="22">
        <f>V20*(1-AC20)</f>
        <v/>
      </c>
      <c r="H20" s="22">
        <f>W20*(1-AC20)</f>
        <v/>
      </c>
      <c r="I20" s="26">
        <f>AE20</f>
        <v/>
      </c>
      <c r="J20" s="22">
        <f>AG20</f>
        <v/>
      </c>
      <c r="K20" s="22">
        <f>AH20</f>
        <v/>
      </c>
      <c r="L20" s="32">
        <f>AI20</f>
        <v/>
      </c>
      <c r="M20" s="32">
        <f>TRIM(TEXT(AK20,"# ##0"))&amp;" à "&amp;TRIM(TEXT(AL20,"# ##0"))&amp;" €"</f>
        <v/>
      </c>
      <c r="P20" s="43">
        <f>MIN(Population_maximum,MAX(Population_minimum,ROUND($B20,0)))</f>
        <v/>
      </c>
      <c r="Q20" s="44">
        <f>Prix_ancre*(P20/Population_ancre)^Exposant</f>
        <v/>
      </c>
      <c r="R20" s="45">
        <f>IF(P20&lt;=Chantiers_demi_poids_sous,Poids_chantiers/2,IF(P20&gt;=Chantiers_plein_poids_des,Poids_chantiers,Poids_chantiers*(0.5+0.5*(LN(P20)-LN(Chantiers_demi_poids_sous))/(LN(Chantiers_plein_poids_des)-LN(Chantiers_demi_poids_sous)))))</f>
        <v/>
      </c>
      <c r="S20" s="44">
        <f>Q20*Poids_carte</f>
        <v/>
      </c>
      <c r="T20" s="44">
        <f>Q20*Poids_travaux</f>
        <v/>
      </c>
      <c r="U20" s="44">
        <f>Q20*R20</f>
        <v/>
      </c>
      <c r="V20" s="44">
        <f>Q20*Poids_participer</f>
        <v/>
      </c>
      <c r="W20" s="44">
        <f>Q20*Poids_diagnostic</f>
        <v/>
      </c>
      <c r="X20" s="44">
        <f>SUM(S20:W20)</f>
        <v/>
      </c>
      <c r="Y20" s="46">
        <f>5</f>
        <v/>
      </c>
      <c r="Z20" s="47">
        <f>MIN(0.9,MAX(0,Y20-1)*Remise_par_module_ajoute)</f>
        <v/>
      </c>
      <c r="AA20" s="44">
        <f>MAX(S20:W20)*Z20</f>
        <v/>
      </c>
      <c r="AB20" s="44">
        <f>X20-AA20</f>
        <v/>
      </c>
      <c r="AC20" s="47">
        <f>IFERROR(VLOOKUP('Grille'!$C$5,Table_engagements,4,FALSE),0)</f>
        <v/>
      </c>
      <c r="AD20" s="44">
        <f>AB20*AC20</f>
        <v/>
      </c>
      <c r="AE20" s="44">
        <f>AB20-AD20</f>
        <v/>
      </c>
      <c r="AF20" s="44">
        <f>AE20*12</f>
        <v/>
      </c>
      <c r="AG20" s="44">
        <f>IF(P20&lt;Mise_en_service_offerte_sous,0,AE20*Mise_en_service_mois)</f>
        <v/>
      </c>
      <c r="AH20" s="44">
        <f>AG20+AF20*IF(N('Grille'!$C$5)&gt;0,'Grille'!$C$5,1)</f>
        <v/>
      </c>
      <c r="AI20" s="48">
        <f>IF(AH20&gt;=Seuil_3,"Procédure formalisée",IF(AH20&gt;=Seuil_2,"Publicité obligatoire",IF(AH20&gt;=Seuil_1,"Procédure adaptée","Sous les seuils")))</f>
        <v/>
      </c>
      <c r="AJ20" s="43">
        <f>IF(AE20&lt;1000,10,IF(AE20&lt;10000,100,IF(AE20&lt;100000,1000,10000)))</f>
        <v/>
      </c>
      <c r="AK20" s="44">
        <f>FLOOR(AE20*(1-Fourchette_marge),AJ20)</f>
        <v/>
      </c>
      <c r="AL20" s="44">
        <f>CEILING(AE20*(1+Fourchette_marge),AJ20)</f>
        <v/>
      </c>
      <c r="AM20" s="43">
        <f>IF(AH20&lt;1000,10,IF(AH20&lt;10000,100,IF(AH20&lt;100000,1000,10000)))</f>
        <v/>
      </c>
      <c r="AN20" s="44">
        <f>FLOOR(AH20*(1-Fourchette_marge),AM20)</f>
        <v/>
      </c>
      <c r="AO20" s="44">
        <f>CEILING(AH20*(1+Fourchette_marge),AM20)</f>
        <v/>
      </c>
    </row>
    <row r="21">
      <c r="B21" s="8" t="n">
        <v>500000</v>
      </c>
      <c r="C21" s="22">
        <f>Q21</f>
        <v/>
      </c>
      <c r="D21" s="22">
        <f>S21*(1-AC21)</f>
        <v/>
      </c>
      <c r="E21" s="22">
        <f>T21*(1-AC21)</f>
        <v/>
      </c>
      <c r="F21" s="22">
        <f>U21*(1-AC21)</f>
        <v/>
      </c>
      <c r="G21" s="22">
        <f>V21*(1-AC21)</f>
        <v/>
      </c>
      <c r="H21" s="22">
        <f>W21*(1-AC21)</f>
        <v/>
      </c>
      <c r="I21" s="26">
        <f>AE21</f>
        <v/>
      </c>
      <c r="J21" s="22">
        <f>AG21</f>
        <v/>
      </c>
      <c r="K21" s="22">
        <f>AH21</f>
        <v/>
      </c>
      <c r="L21" s="32">
        <f>AI21</f>
        <v/>
      </c>
      <c r="M21" s="32">
        <f>TRIM(TEXT(AK21,"# ##0"))&amp;" à "&amp;TRIM(TEXT(AL21,"# ##0"))&amp;" €"</f>
        <v/>
      </c>
      <c r="P21" s="43">
        <f>MIN(Population_maximum,MAX(Population_minimum,ROUND($B21,0)))</f>
        <v/>
      </c>
      <c r="Q21" s="44">
        <f>Prix_ancre*(P21/Population_ancre)^Exposant</f>
        <v/>
      </c>
      <c r="R21" s="45">
        <f>IF(P21&lt;=Chantiers_demi_poids_sous,Poids_chantiers/2,IF(P21&gt;=Chantiers_plein_poids_des,Poids_chantiers,Poids_chantiers*(0.5+0.5*(LN(P21)-LN(Chantiers_demi_poids_sous))/(LN(Chantiers_plein_poids_des)-LN(Chantiers_demi_poids_sous)))))</f>
        <v/>
      </c>
      <c r="S21" s="44">
        <f>Q21*Poids_carte</f>
        <v/>
      </c>
      <c r="T21" s="44">
        <f>Q21*Poids_travaux</f>
        <v/>
      </c>
      <c r="U21" s="44">
        <f>Q21*R21</f>
        <v/>
      </c>
      <c r="V21" s="44">
        <f>Q21*Poids_participer</f>
        <v/>
      </c>
      <c r="W21" s="44">
        <f>Q21*Poids_diagnostic</f>
        <v/>
      </c>
      <c r="X21" s="44">
        <f>SUM(S21:W21)</f>
        <v/>
      </c>
      <c r="Y21" s="46">
        <f>5</f>
        <v/>
      </c>
      <c r="Z21" s="47">
        <f>MIN(0.9,MAX(0,Y21-1)*Remise_par_module_ajoute)</f>
        <v/>
      </c>
      <c r="AA21" s="44">
        <f>MAX(S21:W21)*Z21</f>
        <v/>
      </c>
      <c r="AB21" s="44">
        <f>X21-AA21</f>
        <v/>
      </c>
      <c r="AC21" s="47">
        <f>IFERROR(VLOOKUP('Grille'!$C$5,Table_engagements,4,FALSE),0)</f>
        <v/>
      </c>
      <c r="AD21" s="44">
        <f>AB21*AC21</f>
        <v/>
      </c>
      <c r="AE21" s="44">
        <f>AB21-AD21</f>
        <v/>
      </c>
      <c r="AF21" s="44">
        <f>AE21*12</f>
        <v/>
      </c>
      <c r="AG21" s="44">
        <f>IF(P21&lt;Mise_en_service_offerte_sous,0,AE21*Mise_en_service_mois)</f>
        <v/>
      </c>
      <c r="AH21" s="44">
        <f>AG21+AF21*IF(N('Grille'!$C$5)&gt;0,'Grille'!$C$5,1)</f>
        <v/>
      </c>
      <c r="AI21" s="48">
        <f>IF(AH21&gt;=Seuil_3,"Procédure formalisée",IF(AH21&gt;=Seuil_2,"Publicité obligatoire",IF(AH21&gt;=Seuil_1,"Procédure adaptée","Sous les seuils")))</f>
        <v/>
      </c>
      <c r="AJ21" s="43">
        <f>IF(AE21&lt;1000,10,IF(AE21&lt;10000,100,IF(AE21&lt;100000,1000,10000)))</f>
        <v/>
      </c>
      <c r="AK21" s="44">
        <f>FLOOR(AE21*(1-Fourchette_marge),AJ21)</f>
        <v/>
      </c>
      <c r="AL21" s="44">
        <f>CEILING(AE21*(1+Fourchette_marge),AJ21)</f>
        <v/>
      </c>
      <c r="AM21" s="43">
        <f>IF(AH21&lt;1000,10,IF(AH21&lt;10000,100,IF(AH21&lt;100000,1000,10000)))</f>
        <v/>
      </c>
      <c r="AN21" s="44">
        <f>FLOOR(AH21*(1-Fourchette_marge),AM21)</f>
        <v/>
      </c>
      <c r="AO21" s="44">
        <f>CEILING(AH21*(1+Fourchette_marge),AM21)</f>
        <v/>
      </c>
    </row>
    <row r="22">
      <c r="B22" s="8" t="n">
        <v>1000000</v>
      </c>
      <c r="C22" s="22">
        <f>Q22</f>
        <v/>
      </c>
      <c r="D22" s="22">
        <f>S22*(1-AC22)</f>
        <v/>
      </c>
      <c r="E22" s="22">
        <f>T22*(1-AC22)</f>
        <v/>
      </c>
      <c r="F22" s="22">
        <f>U22*(1-AC22)</f>
        <v/>
      </c>
      <c r="G22" s="22">
        <f>V22*(1-AC22)</f>
        <v/>
      </c>
      <c r="H22" s="22">
        <f>W22*(1-AC22)</f>
        <v/>
      </c>
      <c r="I22" s="26">
        <f>AE22</f>
        <v/>
      </c>
      <c r="J22" s="22">
        <f>AG22</f>
        <v/>
      </c>
      <c r="K22" s="22">
        <f>AH22</f>
        <v/>
      </c>
      <c r="L22" s="32">
        <f>AI22</f>
        <v/>
      </c>
      <c r="M22" s="32">
        <f>TRIM(TEXT(AK22,"# ##0"))&amp;" à "&amp;TRIM(TEXT(AL22,"# ##0"))&amp;" €"</f>
        <v/>
      </c>
      <c r="P22" s="43">
        <f>MIN(Population_maximum,MAX(Population_minimum,ROUND($B22,0)))</f>
        <v/>
      </c>
      <c r="Q22" s="44">
        <f>Prix_ancre*(P22/Population_ancre)^Exposant</f>
        <v/>
      </c>
      <c r="R22" s="45">
        <f>IF(P22&lt;=Chantiers_demi_poids_sous,Poids_chantiers/2,IF(P22&gt;=Chantiers_plein_poids_des,Poids_chantiers,Poids_chantiers*(0.5+0.5*(LN(P22)-LN(Chantiers_demi_poids_sous))/(LN(Chantiers_plein_poids_des)-LN(Chantiers_demi_poids_sous)))))</f>
        <v/>
      </c>
      <c r="S22" s="44">
        <f>Q22*Poids_carte</f>
        <v/>
      </c>
      <c r="T22" s="44">
        <f>Q22*Poids_travaux</f>
        <v/>
      </c>
      <c r="U22" s="44">
        <f>Q22*R22</f>
        <v/>
      </c>
      <c r="V22" s="44">
        <f>Q22*Poids_participer</f>
        <v/>
      </c>
      <c r="W22" s="44">
        <f>Q22*Poids_diagnostic</f>
        <v/>
      </c>
      <c r="X22" s="44">
        <f>SUM(S22:W22)</f>
        <v/>
      </c>
      <c r="Y22" s="46">
        <f>5</f>
        <v/>
      </c>
      <c r="Z22" s="47">
        <f>MIN(0.9,MAX(0,Y22-1)*Remise_par_module_ajoute)</f>
        <v/>
      </c>
      <c r="AA22" s="44">
        <f>MAX(S22:W22)*Z22</f>
        <v/>
      </c>
      <c r="AB22" s="44">
        <f>X22-AA22</f>
        <v/>
      </c>
      <c r="AC22" s="47">
        <f>IFERROR(VLOOKUP('Grille'!$C$5,Table_engagements,4,FALSE),0)</f>
        <v/>
      </c>
      <c r="AD22" s="44">
        <f>AB22*AC22</f>
        <v/>
      </c>
      <c r="AE22" s="44">
        <f>AB22-AD22</f>
        <v/>
      </c>
      <c r="AF22" s="44">
        <f>AE22*12</f>
        <v/>
      </c>
      <c r="AG22" s="44">
        <f>IF(P22&lt;Mise_en_service_offerte_sous,0,AE22*Mise_en_service_mois)</f>
        <v/>
      </c>
      <c r="AH22" s="44">
        <f>AG22+AF22*IF(N('Grille'!$C$5)&gt;0,'Grille'!$C$5,1)</f>
        <v/>
      </c>
      <c r="AI22" s="48">
        <f>IF(AH22&gt;=Seuil_3,"Procédure formalisée",IF(AH22&gt;=Seuil_2,"Publicité obligatoire",IF(AH22&gt;=Seuil_1,"Procédure adaptée","Sous les seuils")))</f>
        <v/>
      </c>
      <c r="AJ22" s="43">
        <f>IF(AE22&lt;1000,10,IF(AE22&lt;10000,100,IF(AE22&lt;100000,1000,10000)))</f>
        <v/>
      </c>
      <c r="AK22" s="44">
        <f>FLOOR(AE22*(1-Fourchette_marge),AJ22)</f>
        <v/>
      </c>
      <c r="AL22" s="44">
        <f>CEILING(AE22*(1+Fourchette_marge),AJ22)</f>
        <v/>
      </c>
      <c r="AM22" s="43">
        <f>IF(AH22&lt;1000,10,IF(AH22&lt;10000,100,IF(AH22&lt;100000,1000,10000)))</f>
        <v/>
      </c>
      <c r="AN22" s="44">
        <f>FLOOR(AH22*(1-Fourchette_marge),AM22)</f>
        <v/>
      </c>
      <c r="AO22" s="44">
        <f>CEILING(AH22*(1+Fourchette_marge),AM22)</f>
        <v/>
      </c>
    </row>
  </sheetData>
  <sheetProtection selectLockedCells="0" selectUnlockedCells="0" sheet="1" objects="0" insertRows="1" insertHyperlinks="1" autoFilter="1" scenarios="0" formatColumns="0" deleteColumns="1" insertColumns="1" pivotTables="1" deleteRows="1" formatCells="1" formatRows="0" sort="1"/>
  <mergeCells count="1">
    <mergeCell ref="B3:L3"/>
  </mergeCells>
  <dataValidations count="1">
    <dataValidation sqref="C5" showDropDown="0" showInputMessage="0" showErrorMessage="0" allowBlank="0" type="list">
      <formula1>"1,2,3,4"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0"/>
    <pageSetUpPr/>
  </sheetPr>
  <dimension ref="B2:AQ30"/>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3" customWidth="1" min="1" max="1"/>
    <col width="30" customWidth="1" min="2" max="2"/>
    <col width="11" customWidth="1" min="3" max="3"/>
    <col width="13" customWidth="1" min="4" max="4"/>
    <col width="13" customWidth="1" min="5" max="5"/>
    <col width="13" customWidth="1" min="6" max="6"/>
    <col width="13" customWidth="1" min="7" max="7"/>
    <col width="13" customWidth="1" min="8" max="8"/>
    <col width="12" customWidth="1" min="9" max="9"/>
    <col width="13" customWidth="1" min="10" max="10"/>
    <col width="13" customWidth="1" min="11" max="11"/>
    <col width="14" customWidth="1" min="12" max="12"/>
    <col width="16" customWidth="1" min="13" max="13"/>
    <col width="20" customWidth="1" min="14" max="14"/>
    <col width="24" customWidth="1" min="15" max="15"/>
    <col width="26" customWidth="1" min="16" max="16"/>
    <col width="3" customWidth="1" min="17" max="17"/>
    <col hidden="1" outlineLevel="1" width="13" customWidth="1" min="18" max="18"/>
    <col hidden="1" outlineLevel="1" width="13" customWidth="1" min="19" max="19"/>
    <col hidden="1" outlineLevel="1" width="13" customWidth="1" min="20" max="20"/>
    <col hidden="1" outlineLevel="1" width="13" customWidth="1" min="21" max="21"/>
    <col hidden="1" outlineLevel="1" width="13" customWidth="1" min="22" max="22"/>
    <col hidden="1" outlineLevel="1" width="13" customWidth="1" min="23" max="23"/>
    <col hidden="1" outlineLevel="1" width="13" customWidth="1" min="24" max="24"/>
    <col hidden="1" outlineLevel="1" width="13" customWidth="1" min="25" max="25"/>
    <col hidden="1" outlineLevel="1" width="13" customWidth="1" min="26" max="26"/>
    <col hidden="1" outlineLevel="1" width="13" customWidth="1" min="27" max="27"/>
    <col hidden="1" outlineLevel="1" width="13" customWidth="1" min="28" max="28"/>
    <col hidden="1" outlineLevel="1" width="13" customWidth="1" min="29" max="29"/>
    <col hidden="1" outlineLevel="1" width="13" customWidth="1" min="30" max="30"/>
    <col hidden="1" outlineLevel="1" width="13" customWidth="1" min="31" max="31"/>
    <col hidden="1" outlineLevel="1" width="13" customWidth="1" min="32" max="32"/>
    <col hidden="1" outlineLevel="1" width="13" customWidth="1" min="33" max="33"/>
    <col hidden="1" outlineLevel="1" width="13" customWidth="1" min="34" max="34"/>
    <col hidden="1" outlineLevel="1" width="13" customWidth="1" min="35" max="35"/>
    <col hidden="1" outlineLevel="1" width="13" customWidth="1" min="36" max="36"/>
    <col hidden="1" outlineLevel="1" width="13" customWidth="1" min="37" max="37"/>
    <col hidden="1" outlineLevel="1" width="13" customWidth="1" min="38" max="38"/>
    <col hidden="1" outlineLevel="1" width="13" customWidth="1" min="39" max="39"/>
    <col hidden="1" outlineLevel="1" width="13" customWidth="1" min="40" max="40"/>
    <col hidden="1" outlineLevel="1" width="13" customWidth="1" min="41" max="41"/>
    <col hidden="1" outlineLevel="1" width="13" customWidth="1" min="42" max="42"/>
    <col hidden="1" outlineLevel="1" width="13" customWidth="1" min="43" max="43"/>
  </cols>
  <sheetData>
    <row r="2">
      <c r="B2" s="1" t="inlineStr">
        <is>
          <t>Vos scénarios</t>
        </is>
      </c>
    </row>
    <row r="3" ht="32" customHeight="1">
      <c r="B3" s="2" t="inlineStr">
        <is>
          <t>Une ligne par cas : un nom, la population, Oui ou Non pour chaque module, la durée d'engagement. Le prix se calcule tout seul, avec la fourchette que le visiteur verrait sur le site. Les exemples se remplacent.</t>
        </is>
      </c>
    </row>
    <row r="5" ht="46" customHeight="1">
      <c r="B5" s="17" t="inlineStr">
        <is>
          <t>Scénario</t>
        </is>
      </c>
      <c r="C5" s="17" t="inlineStr">
        <is>
          <t>Habitants</t>
        </is>
      </c>
      <c r="D5" s="17" t="inlineStr">
        <is>
          <t>Carte des projets urbains</t>
        </is>
      </c>
      <c r="E5" s="17" t="inlineStr">
        <is>
          <t>Travaux du quotidien</t>
        </is>
      </c>
      <c r="F5" s="17" t="inlineStr">
        <is>
          <t>Chantiers et arrêtés</t>
        </is>
      </c>
      <c r="G5" s="17" t="inlineStr">
        <is>
          <t>Signalement</t>
        </is>
      </c>
      <c r="H5" s="17" t="inlineStr">
        <is>
          <t>Diagnostic terrain</t>
        </is>
      </c>
      <c r="I5" s="17" t="inlineStr">
        <is>
          <t>Engagement (années)</t>
        </is>
      </c>
      <c r="J5" s="17" t="inlineStr">
        <is>
          <t>Mensuel HT</t>
        </is>
      </c>
      <c r="K5" s="17" t="inlineStr">
        <is>
          <t>Annuel HT</t>
        </is>
      </c>
      <c r="L5" s="17" t="inlineStr">
        <is>
          <t>Mise en service</t>
        </is>
      </c>
      <c r="M5" s="17" t="inlineStr">
        <is>
          <t>Total sur la durée</t>
        </is>
      </c>
      <c r="N5" s="17" t="inlineStr">
        <is>
          <t>Seuil dépassé</t>
        </is>
      </c>
      <c r="O5" s="17" t="inlineStr">
        <is>
          <t>Fourchette publique, par mois</t>
        </is>
      </c>
      <c r="P5" s="17" t="inlineStr">
        <is>
          <t>Fourchette publique, total</t>
        </is>
      </c>
      <c r="R5" s="42" t="inlineStr">
        <is>
          <t>Population retenue</t>
        </is>
      </c>
      <c r="S5" s="42" t="inlineStr">
        <is>
          <t>Prix d'une unité de poids</t>
        </is>
      </c>
      <c r="T5" s="42" t="inlineStr">
        <is>
          <t>Poids chantiers</t>
        </is>
      </c>
      <c r="U5" s="42" t="inlineStr">
        <is>
          <t>Prix Carte des projets urbains</t>
        </is>
      </c>
      <c r="V5" s="42" t="inlineStr">
        <is>
          <t>Prix Travaux du quotidien</t>
        </is>
      </c>
      <c r="W5" s="42" t="inlineStr">
        <is>
          <t>Prix Chantiers et arrêtés</t>
        </is>
      </c>
      <c r="X5" s="42" t="inlineStr">
        <is>
          <t>Prix Signalement</t>
        </is>
      </c>
      <c r="Y5" s="42" t="inlineStr">
        <is>
          <t>Prix Diagnostic terrain</t>
        </is>
      </c>
      <c r="Z5" s="42" t="inlineStr">
        <is>
          <t>Total avant remises</t>
        </is>
      </c>
      <c r="AA5" s="42" t="inlineStr">
        <is>
          <t>Modules retenus</t>
        </is>
      </c>
      <c r="AB5" s="42" t="inlineStr">
        <is>
          <t>Taux remise multi-modules</t>
        </is>
      </c>
      <c r="AC5" s="42" t="inlineStr">
        <is>
          <t>Remise multi-modules</t>
        </is>
      </c>
      <c r="AD5" s="42" t="inlineStr">
        <is>
          <t>Après remise multi-modules</t>
        </is>
      </c>
      <c r="AE5" s="42" t="inlineStr">
        <is>
          <t>Taux engagement</t>
        </is>
      </c>
      <c r="AF5" s="42" t="inlineStr">
        <is>
          <t>Remise engagement</t>
        </is>
      </c>
      <c r="AG5" s="42" t="inlineStr">
        <is>
          <t>Mensuel</t>
        </is>
      </c>
      <c r="AH5" s="42" t="inlineStr">
        <is>
          <t>Annuel</t>
        </is>
      </c>
      <c r="AI5" s="42" t="inlineStr">
        <is>
          <t>Mise en service</t>
        </is>
      </c>
      <c r="AJ5" s="42" t="inlineStr">
        <is>
          <t>Total sur la durée</t>
        </is>
      </c>
      <c r="AK5" s="42" t="inlineStr">
        <is>
          <t>Seuil</t>
        </is>
      </c>
      <c r="AL5" s="42" t="inlineStr">
        <is>
          <t>Pas d'arrondi (mensuel)</t>
        </is>
      </c>
      <c r="AM5" s="42" t="inlineStr">
        <is>
          <t>Fourchette basse (mensuel)</t>
        </is>
      </c>
      <c r="AN5" s="42" t="inlineStr">
        <is>
          <t>Fourchette haute (mensuel)</t>
        </is>
      </c>
      <c r="AO5" s="42" t="inlineStr">
        <is>
          <t>Pas d'arrondi (total)</t>
        </is>
      </c>
      <c r="AP5" s="42" t="inlineStr">
        <is>
          <t>Fourchette basse (total)</t>
        </is>
      </c>
      <c r="AQ5" s="42" t="inlineStr">
        <is>
          <t>Fourchette haute (total)</t>
        </is>
      </c>
    </row>
    <row r="6">
      <c r="B6" s="5" t="inlineStr">
        <is>
          <t>Village, la carte seule</t>
        </is>
      </c>
      <c r="C6" s="8" t="n">
        <v>800</v>
      </c>
      <c r="D6" s="11" t="inlineStr">
        <is>
          <t>Oui</t>
        </is>
      </c>
      <c r="E6" s="11" t="inlineStr">
        <is>
          <t>Non</t>
        </is>
      </c>
      <c r="F6" s="11" t="inlineStr">
        <is>
          <t>Non</t>
        </is>
      </c>
      <c r="G6" s="11" t="inlineStr">
        <is>
          <t>Non</t>
        </is>
      </c>
      <c r="H6" s="11" t="inlineStr">
        <is>
          <t>Non</t>
        </is>
      </c>
      <c r="I6" s="16" t="n">
        <v>3</v>
      </c>
      <c r="J6" s="26">
        <f>IF($C6="","",AG6)</f>
        <v/>
      </c>
      <c r="K6" s="22">
        <f>IF($C6="","",AH6)</f>
        <v/>
      </c>
      <c r="L6" s="22">
        <f>IF($C6="","",AI6)</f>
        <v/>
      </c>
      <c r="M6" s="26">
        <f>IF($C6="","",AJ6)</f>
        <v/>
      </c>
      <c r="N6" s="49">
        <f>IF($C6="","",AK6)</f>
        <v/>
      </c>
      <c r="O6" s="49">
        <f>IF($C6="","",TRIM(TEXT(AM6,"# ##0"))&amp;" à "&amp;TRIM(TEXT(AN6,"# ##0"))&amp;" €")</f>
        <v/>
      </c>
      <c r="P6" s="49">
        <f>IF($C6="","",TRIM(TEXT(AP6,"# ##0"))&amp;" à "&amp;TRIM(TEXT(AQ6,"# ##0"))&amp;" €")</f>
        <v/>
      </c>
      <c r="R6" s="43">
        <f>MIN(Population_maximum,MAX(Population_minimum,ROUND($C6,0)))</f>
        <v/>
      </c>
      <c r="S6" s="44">
        <f>Prix_ancre*(R6/Population_ancre)^Exposant</f>
        <v/>
      </c>
      <c r="T6" s="45">
        <f>IF(R6&lt;=Chantiers_demi_poids_sous,Poids_chantiers/2,IF(R6&gt;=Chantiers_plein_poids_des,Poids_chantiers,Poids_chantiers*(0.5+0.5*(LN(R6)-LN(Chantiers_demi_poids_sous))/(LN(Chantiers_plein_poids_des)-LN(Chantiers_demi_poids_sous)))))</f>
        <v/>
      </c>
      <c r="U6" s="44">
        <f>IF($D6="Oui",S6*Poids_carte,0)</f>
        <v/>
      </c>
      <c r="V6" s="44">
        <f>IF($E6="Oui",S6*Poids_travaux,0)</f>
        <v/>
      </c>
      <c r="W6" s="44">
        <f>IF($F6="Oui",S6*T6,0)</f>
        <v/>
      </c>
      <c r="X6" s="44">
        <f>IF($G6="Oui",S6*Poids_participer,0)</f>
        <v/>
      </c>
      <c r="Y6" s="44">
        <f>IF($H6="Oui",S6*Poids_diagnostic,0)</f>
        <v/>
      </c>
      <c r="Z6" s="44">
        <f>SUM(U6:Y6)</f>
        <v/>
      </c>
      <c r="AA6" s="46">
        <f>COUNTIF($D6:$H6,"Oui")</f>
        <v/>
      </c>
      <c r="AB6" s="47">
        <f>MIN(0.9,MAX(0,AA6-1)*Remise_par_module_ajoute)</f>
        <v/>
      </c>
      <c r="AC6" s="44">
        <f>MAX(U6:Y6)*AB6</f>
        <v/>
      </c>
      <c r="AD6" s="44">
        <f>Z6-AC6</f>
        <v/>
      </c>
      <c r="AE6" s="47">
        <f>IFERROR(VLOOKUP($I6,Table_engagements,4,FALSE),0)</f>
        <v/>
      </c>
      <c r="AF6" s="44">
        <f>AD6*AE6</f>
        <v/>
      </c>
      <c r="AG6" s="44">
        <f>AD6-AF6</f>
        <v/>
      </c>
      <c r="AH6" s="44">
        <f>AG6*12</f>
        <v/>
      </c>
      <c r="AI6" s="44">
        <f>IF(R6&lt;Mise_en_service_offerte_sous,0,AG6*Mise_en_service_mois)</f>
        <v/>
      </c>
      <c r="AJ6" s="44">
        <f>AI6+AH6*IF(N($I6)&gt;0,$I6,1)</f>
        <v/>
      </c>
      <c r="AK6" s="48">
        <f>IF(AJ6&gt;=Seuil_3,"Procédure formalisée",IF(AJ6&gt;=Seuil_2,"Publicité obligatoire",IF(AJ6&gt;=Seuil_1,"Procédure adaptée","Sous les seuils")))</f>
        <v/>
      </c>
      <c r="AL6" s="43">
        <f>IF(AG6&lt;1000,10,IF(AG6&lt;10000,100,IF(AG6&lt;100000,1000,10000)))</f>
        <v/>
      </c>
      <c r="AM6" s="44">
        <f>FLOOR(AG6*(1-Fourchette_marge),AL6)</f>
        <v/>
      </c>
      <c r="AN6" s="44">
        <f>CEILING(AG6*(1+Fourchette_marge),AL6)</f>
        <v/>
      </c>
      <c r="AO6" s="43">
        <f>IF(AJ6&lt;1000,10,IF(AJ6&lt;10000,100,IF(AJ6&lt;100000,1000,10000)))</f>
        <v/>
      </c>
      <c r="AP6" s="44">
        <f>FLOOR(AJ6*(1-Fourchette_marge),AO6)</f>
        <v/>
      </c>
      <c r="AQ6" s="44">
        <f>CEILING(AJ6*(1+Fourchette_marge),AO6)</f>
        <v/>
      </c>
    </row>
    <row r="7">
      <c r="B7" s="5" t="inlineStr">
        <is>
          <t>Bourg, carte et travaux</t>
        </is>
      </c>
      <c r="C7" s="8" t="n">
        <v>3000</v>
      </c>
      <c r="D7" s="11" t="inlineStr">
        <is>
          <t>Oui</t>
        </is>
      </c>
      <c r="E7" s="11" t="inlineStr">
        <is>
          <t>Oui</t>
        </is>
      </c>
      <c r="F7" s="11" t="inlineStr">
        <is>
          <t>Non</t>
        </is>
      </c>
      <c r="G7" s="11" t="inlineStr">
        <is>
          <t>Non</t>
        </is>
      </c>
      <c r="H7" s="11" t="inlineStr">
        <is>
          <t>Non</t>
        </is>
      </c>
      <c r="I7" s="16" t="n">
        <v>3</v>
      </c>
      <c r="J7" s="26">
        <f>IF($C7="","",AG7)</f>
        <v/>
      </c>
      <c r="K7" s="22">
        <f>IF($C7="","",AH7)</f>
        <v/>
      </c>
      <c r="L7" s="22">
        <f>IF($C7="","",AI7)</f>
        <v/>
      </c>
      <c r="M7" s="26">
        <f>IF($C7="","",AJ7)</f>
        <v/>
      </c>
      <c r="N7" s="49">
        <f>IF($C7="","",AK7)</f>
        <v/>
      </c>
      <c r="O7" s="49">
        <f>IF($C7="","",TRIM(TEXT(AM7,"# ##0"))&amp;" à "&amp;TRIM(TEXT(AN7,"# ##0"))&amp;" €")</f>
        <v/>
      </c>
      <c r="P7" s="49">
        <f>IF($C7="","",TRIM(TEXT(AP7,"# ##0"))&amp;" à "&amp;TRIM(TEXT(AQ7,"# ##0"))&amp;" €")</f>
        <v/>
      </c>
      <c r="R7" s="43">
        <f>MIN(Population_maximum,MAX(Population_minimum,ROUND($C7,0)))</f>
        <v/>
      </c>
      <c r="S7" s="44">
        <f>Prix_ancre*(R7/Population_ancre)^Exposant</f>
        <v/>
      </c>
      <c r="T7" s="45">
        <f>IF(R7&lt;=Chantiers_demi_poids_sous,Poids_chantiers/2,IF(R7&gt;=Chantiers_plein_poids_des,Poids_chantiers,Poids_chantiers*(0.5+0.5*(LN(R7)-LN(Chantiers_demi_poids_sous))/(LN(Chantiers_plein_poids_des)-LN(Chantiers_demi_poids_sous)))))</f>
        <v/>
      </c>
      <c r="U7" s="44">
        <f>IF($D7="Oui",S7*Poids_carte,0)</f>
        <v/>
      </c>
      <c r="V7" s="44">
        <f>IF($E7="Oui",S7*Poids_travaux,0)</f>
        <v/>
      </c>
      <c r="W7" s="44">
        <f>IF($F7="Oui",S7*T7,0)</f>
        <v/>
      </c>
      <c r="X7" s="44">
        <f>IF($G7="Oui",S7*Poids_participer,0)</f>
        <v/>
      </c>
      <c r="Y7" s="44">
        <f>IF($H7="Oui",S7*Poids_diagnostic,0)</f>
        <v/>
      </c>
      <c r="Z7" s="44">
        <f>SUM(U7:Y7)</f>
        <v/>
      </c>
      <c r="AA7" s="46">
        <f>COUNTIF($D7:$H7,"Oui")</f>
        <v/>
      </c>
      <c r="AB7" s="47">
        <f>MIN(0.9,MAX(0,AA7-1)*Remise_par_module_ajoute)</f>
        <v/>
      </c>
      <c r="AC7" s="44">
        <f>MAX(U7:Y7)*AB7</f>
        <v/>
      </c>
      <c r="AD7" s="44">
        <f>Z7-AC7</f>
        <v/>
      </c>
      <c r="AE7" s="47">
        <f>IFERROR(VLOOKUP($I7,Table_engagements,4,FALSE),0)</f>
        <v/>
      </c>
      <c r="AF7" s="44">
        <f>AD7*AE7</f>
        <v/>
      </c>
      <c r="AG7" s="44">
        <f>AD7-AF7</f>
        <v/>
      </c>
      <c r="AH7" s="44">
        <f>AG7*12</f>
        <v/>
      </c>
      <c r="AI7" s="44">
        <f>IF(R7&lt;Mise_en_service_offerte_sous,0,AG7*Mise_en_service_mois)</f>
        <v/>
      </c>
      <c r="AJ7" s="44">
        <f>AI7+AH7*IF(N($I7)&gt;0,$I7,1)</f>
        <v/>
      </c>
      <c r="AK7" s="48">
        <f>IF(AJ7&gt;=Seuil_3,"Procédure formalisée",IF(AJ7&gt;=Seuil_2,"Publicité obligatoire",IF(AJ7&gt;=Seuil_1,"Procédure adaptée","Sous les seuils")))</f>
        <v/>
      </c>
      <c r="AL7" s="43">
        <f>IF(AG7&lt;1000,10,IF(AG7&lt;10000,100,IF(AG7&lt;100000,1000,10000)))</f>
        <v/>
      </c>
      <c r="AM7" s="44">
        <f>FLOOR(AG7*(1-Fourchette_marge),AL7)</f>
        <v/>
      </c>
      <c r="AN7" s="44">
        <f>CEILING(AG7*(1+Fourchette_marge),AL7)</f>
        <v/>
      </c>
      <c r="AO7" s="43">
        <f>IF(AJ7&lt;1000,10,IF(AJ7&lt;10000,100,IF(AJ7&lt;100000,1000,10000)))</f>
        <v/>
      </c>
      <c r="AP7" s="44">
        <f>FLOOR(AJ7*(1-Fourchette_marge),AO7)</f>
        <v/>
      </c>
      <c r="AQ7" s="44">
        <f>CEILING(AJ7*(1+Fourchette_marge),AO7)</f>
        <v/>
      </c>
    </row>
    <row r="8">
      <c r="B8" s="5" t="inlineStr">
        <is>
          <t>Bourg, chantiers seul</t>
        </is>
      </c>
      <c r="C8" s="8" t="n">
        <v>3000</v>
      </c>
      <c r="D8" s="11" t="inlineStr">
        <is>
          <t>Non</t>
        </is>
      </c>
      <c r="E8" s="11" t="inlineStr">
        <is>
          <t>Non</t>
        </is>
      </c>
      <c r="F8" s="11" t="inlineStr">
        <is>
          <t>Oui</t>
        </is>
      </c>
      <c r="G8" s="11" t="inlineStr">
        <is>
          <t>Non</t>
        </is>
      </c>
      <c r="H8" s="11" t="inlineStr">
        <is>
          <t>Non</t>
        </is>
      </c>
      <c r="I8" s="16" t="n">
        <v>1</v>
      </c>
      <c r="J8" s="26">
        <f>IF($C8="","",AG8)</f>
        <v/>
      </c>
      <c r="K8" s="22">
        <f>IF($C8="","",AH8)</f>
        <v/>
      </c>
      <c r="L8" s="22">
        <f>IF($C8="","",AI8)</f>
        <v/>
      </c>
      <c r="M8" s="26">
        <f>IF($C8="","",AJ8)</f>
        <v/>
      </c>
      <c r="N8" s="49">
        <f>IF($C8="","",AK8)</f>
        <v/>
      </c>
      <c r="O8" s="49">
        <f>IF($C8="","",TRIM(TEXT(AM8,"# ##0"))&amp;" à "&amp;TRIM(TEXT(AN8,"# ##0"))&amp;" €")</f>
        <v/>
      </c>
      <c r="P8" s="49">
        <f>IF($C8="","",TRIM(TEXT(AP8,"# ##0"))&amp;" à "&amp;TRIM(TEXT(AQ8,"# ##0"))&amp;" €")</f>
        <v/>
      </c>
      <c r="R8" s="43">
        <f>MIN(Population_maximum,MAX(Population_minimum,ROUND($C8,0)))</f>
        <v/>
      </c>
      <c r="S8" s="44">
        <f>Prix_ancre*(R8/Population_ancre)^Exposant</f>
        <v/>
      </c>
      <c r="T8" s="45">
        <f>IF(R8&lt;=Chantiers_demi_poids_sous,Poids_chantiers/2,IF(R8&gt;=Chantiers_plein_poids_des,Poids_chantiers,Poids_chantiers*(0.5+0.5*(LN(R8)-LN(Chantiers_demi_poids_sous))/(LN(Chantiers_plein_poids_des)-LN(Chantiers_demi_poids_sous)))))</f>
        <v/>
      </c>
      <c r="U8" s="44">
        <f>IF($D8="Oui",S8*Poids_carte,0)</f>
        <v/>
      </c>
      <c r="V8" s="44">
        <f>IF($E8="Oui",S8*Poids_travaux,0)</f>
        <v/>
      </c>
      <c r="W8" s="44">
        <f>IF($F8="Oui",S8*T8,0)</f>
        <v/>
      </c>
      <c r="X8" s="44">
        <f>IF($G8="Oui",S8*Poids_participer,0)</f>
        <v/>
      </c>
      <c r="Y8" s="44">
        <f>IF($H8="Oui",S8*Poids_diagnostic,0)</f>
        <v/>
      </c>
      <c r="Z8" s="44">
        <f>SUM(U8:Y8)</f>
        <v/>
      </c>
      <c r="AA8" s="46">
        <f>COUNTIF($D8:$H8,"Oui")</f>
        <v/>
      </c>
      <c r="AB8" s="47">
        <f>MIN(0.9,MAX(0,AA8-1)*Remise_par_module_ajoute)</f>
        <v/>
      </c>
      <c r="AC8" s="44">
        <f>MAX(U8:Y8)*AB8</f>
        <v/>
      </c>
      <c r="AD8" s="44">
        <f>Z8-AC8</f>
        <v/>
      </c>
      <c r="AE8" s="47">
        <f>IFERROR(VLOOKUP($I8,Table_engagements,4,FALSE),0)</f>
        <v/>
      </c>
      <c r="AF8" s="44">
        <f>AD8*AE8</f>
        <v/>
      </c>
      <c r="AG8" s="44">
        <f>AD8-AF8</f>
        <v/>
      </c>
      <c r="AH8" s="44">
        <f>AG8*12</f>
        <v/>
      </c>
      <c r="AI8" s="44">
        <f>IF(R8&lt;Mise_en_service_offerte_sous,0,AG8*Mise_en_service_mois)</f>
        <v/>
      </c>
      <c r="AJ8" s="44">
        <f>AI8+AH8*IF(N($I8)&gt;0,$I8,1)</f>
        <v/>
      </c>
      <c r="AK8" s="48">
        <f>IF(AJ8&gt;=Seuil_3,"Procédure formalisée",IF(AJ8&gt;=Seuil_2,"Publicité obligatoire",IF(AJ8&gt;=Seuil_1,"Procédure adaptée","Sous les seuils")))</f>
        <v/>
      </c>
      <c r="AL8" s="43">
        <f>IF(AG8&lt;1000,10,IF(AG8&lt;10000,100,IF(AG8&lt;100000,1000,10000)))</f>
        <v/>
      </c>
      <c r="AM8" s="44">
        <f>FLOOR(AG8*(1-Fourchette_marge),AL8)</f>
        <v/>
      </c>
      <c r="AN8" s="44">
        <f>CEILING(AG8*(1+Fourchette_marge),AL8)</f>
        <v/>
      </c>
      <c r="AO8" s="43">
        <f>IF(AJ8&lt;1000,10,IF(AJ8&lt;10000,100,IF(AJ8&lt;100000,1000,10000)))</f>
        <v/>
      </c>
      <c r="AP8" s="44">
        <f>FLOOR(AJ8*(1-Fourchette_marge),AO8)</f>
        <v/>
      </c>
      <c r="AQ8" s="44">
        <f>CEILING(AJ8*(1+Fourchette_marge),AO8)</f>
        <v/>
      </c>
    </row>
    <row r="9">
      <c r="B9" s="5" t="inlineStr">
        <is>
          <t>Petite ville, carte, travaux et signalement</t>
        </is>
      </c>
      <c r="C9" s="8" t="n">
        <v>12000</v>
      </c>
      <c r="D9" s="11" t="inlineStr">
        <is>
          <t>Oui</t>
        </is>
      </c>
      <c r="E9" s="11" t="inlineStr">
        <is>
          <t>Oui</t>
        </is>
      </c>
      <c r="F9" s="11" t="inlineStr">
        <is>
          <t>Non</t>
        </is>
      </c>
      <c r="G9" s="11" t="inlineStr">
        <is>
          <t>Oui</t>
        </is>
      </c>
      <c r="H9" s="11" t="inlineStr">
        <is>
          <t>Non</t>
        </is>
      </c>
      <c r="I9" s="16" t="n">
        <v>3</v>
      </c>
      <c r="J9" s="26">
        <f>IF($C9="","",AG9)</f>
        <v/>
      </c>
      <c r="K9" s="22">
        <f>IF($C9="","",AH9)</f>
        <v/>
      </c>
      <c r="L9" s="22">
        <f>IF($C9="","",AI9)</f>
        <v/>
      </c>
      <c r="M9" s="26">
        <f>IF($C9="","",AJ9)</f>
        <v/>
      </c>
      <c r="N9" s="49">
        <f>IF($C9="","",AK9)</f>
        <v/>
      </c>
      <c r="O9" s="49">
        <f>IF($C9="","",TRIM(TEXT(AM9,"# ##0"))&amp;" à "&amp;TRIM(TEXT(AN9,"# ##0"))&amp;" €")</f>
        <v/>
      </c>
      <c r="P9" s="49">
        <f>IF($C9="","",TRIM(TEXT(AP9,"# ##0"))&amp;" à "&amp;TRIM(TEXT(AQ9,"# ##0"))&amp;" €")</f>
        <v/>
      </c>
      <c r="R9" s="43">
        <f>MIN(Population_maximum,MAX(Population_minimum,ROUND($C9,0)))</f>
        <v/>
      </c>
      <c r="S9" s="44">
        <f>Prix_ancre*(R9/Population_ancre)^Exposant</f>
        <v/>
      </c>
      <c r="T9" s="45">
        <f>IF(R9&lt;=Chantiers_demi_poids_sous,Poids_chantiers/2,IF(R9&gt;=Chantiers_plein_poids_des,Poids_chantiers,Poids_chantiers*(0.5+0.5*(LN(R9)-LN(Chantiers_demi_poids_sous))/(LN(Chantiers_plein_poids_des)-LN(Chantiers_demi_poids_sous)))))</f>
        <v/>
      </c>
      <c r="U9" s="44">
        <f>IF($D9="Oui",S9*Poids_carte,0)</f>
        <v/>
      </c>
      <c r="V9" s="44">
        <f>IF($E9="Oui",S9*Poids_travaux,0)</f>
        <v/>
      </c>
      <c r="W9" s="44">
        <f>IF($F9="Oui",S9*T9,0)</f>
        <v/>
      </c>
      <c r="X9" s="44">
        <f>IF($G9="Oui",S9*Poids_participer,0)</f>
        <v/>
      </c>
      <c r="Y9" s="44">
        <f>IF($H9="Oui",S9*Poids_diagnostic,0)</f>
        <v/>
      </c>
      <c r="Z9" s="44">
        <f>SUM(U9:Y9)</f>
        <v/>
      </c>
      <c r="AA9" s="46">
        <f>COUNTIF($D9:$H9,"Oui")</f>
        <v/>
      </c>
      <c r="AB9" s="47">
        <f>MIN(0.9,MAX(0,AA9-1)*Remise_par_module_ajoute)</f>
        <v/>
      </c>
      <c r="AC9" s="44">
        <f>MAX(U9:Y9)*AB9</f>
        <v/>
      </c>
      <c r="AD9" s="44">
        <f>Z9-AC9</f>
        <v/>
      </c>
      <c r="AE9" s="47">
        <f>IFERROR(VLOOKUP($I9,Table_engagements,4,FALSE),0)</f>
        <v/>
      </c>
      <c r="AF9" s="44">
        <f>AD9*AE9</f>
        <v/>
      </c>
      <c r="AG9" s="44">
        <f>AD9-AF9</f>
        <v/>
      </c>
      <c r="AH9" s="44">
        <f>AG9*12</f>
        <v/>
      </c>
      <c r="AI9" s="44">
        <f>IF(R9&lt;Mise_en_service_offerte_sous,0,AG9*Mise_en_service_mois)</f>
        <v/>
      </c>
      <c r="AJ9" s="44">
        <f>AI9+AH9*IF(N($I9)&gt;0,$I9,1)</f>
        <v/>
      </c>
      <c r="AK9" s="48">
        <f>IF(AJ9&gt;=Seuil_3,"Procédure formalisée",IF(AJ9&gt;=Seuil_2,"Publicité obligatoire",IF(AJ9&gt;=Seuil_1,"Procédure adaptée","Sous les seuils")))</f>
        <v/>
      </c>
      <c r="AL9" s="43">
        <f>IF(AG9&lt;1000,10,IF(AG9&lt;10000,100,IF(AG9&lt;100000,1000,10000)))</f>
        <v/>
      </c>
      <c r="AM9" s="44">
        <f>FLOOR(AG9*(1-Fourchette_marge),AL9)</f>
        <v/>
      </c>
      <c r="AN9" s="44">
        <f>CEILING(AG9*(1+Fourchette_marge),AL9)</f>
        <v/>
      </c>
      <c r="AO9" s="43">
        <f>IF(AJ9&lt;1000,10,IF(AJ9&lt;10000,100,IF(AJ9&lt;100000,1000,10000)))</f>
        <v/>
      </c>
      <c r="AP9" s="44">
        <f>FLOOR(AJ9*(1-Fourchette_marge),AO9)</f>
        <v/>
      </c>
      <c r="AQ9" s="44">
        <f>CEILING(AJ9*(1+Fourchette_marge),AO9)</f>
        <v/>
      </c>
    </row>
    <row r="10">
      <c r="B10" s="5" t="inlineStr">
        <is>
          <t>Petite ville, la suite complète</t>
        </is>
      </c>
      <c r="C10" s="8" t="n">
        <v>12000</v>
      </c>
      <c r="D10" s="11" t="inlineStr">
        <is>
          <t>Oui</t>
        </is>
      </c>
      <c r="E10" s="11" t="inlineStr">
        <is>
          <t>Oui</t>
        </is>
      </c>
      <c r="F10" s="11" t="inlineStr">
        <is>
          <t>Oui</t>
        </is>
      </c>
      <c r="G10" s="11" t="inlineStr">
        <is>
          <t>Oui</t>
        </is>
      </c>
      <c r="H10" s="11" t="inlineStr">
        <is>
          <t>Oui</t>
        </is>
      </c>
      <c r="I10" s="16" t="n">
        <v>4</v>
      </c>
      <c r="J10" s="26">
        <f>IF($C10="","",AG10)</f>
        <v/>
      </c>
      <c r="K10" s="22">
        <f>IF($C10="","",AH10)</f>
        <v/>
      </c>
      <c r="L10" s="22">
        <f>IF($C10="","",AI10)</f>
        <v/>
      </c>
      <c r="M10" s="26">
        <f>IF($C10="","",AJ10)</f>
        <v/>
      </c>
      <c r="N10" s="49">
        <f>IF($C10="","",AK10)</f>
        <v/>
      </c>
      <c r="O10" s="49">
        <f>IF($C10="","",TRIM(TEXT(AM10,"# ##0"))&amp;" à "&amp;TRIM(TEXT(AN10,"# ##0"))&amp;" €")</f>
        <v/>
      </c>
      <c r="P10" s="49">
        <f>IF($C10="","",TRIM(TEXT(AP10,"# ##0"))&amp;" à "&amp;TRIM(TEXT(AQ10,"# ##0"))&amp;" €")</f>
        <v/>
      </c>
      <c r="R10" s="43">
        <f>MIN(Population_maximum,MAX(Population_minimum,ROUND($C10,0)))</f>
        <v/>
      </c>
      <c r="S10" s="44">
        <f>Prix_ancre*(R10/Population_ancre)^Exposant</f>
        <v/>
      </c>
      <c r="T10" s="45">
        <f>IF(R10&lt;=Chantiers_demi_poids_sous,Poids_chantiers/2,IF(R10&gt;=Chantiers_plein_poids_des,Poids_chantiers,Poids_chantiers*(0.5+0.5*(LN(R10)-LN(Chantiers_demi_poids_sous))/(LN(Chantiers_plein_poids_des)-LN(Chantiers_demi_poids_sous)))))</f>
        <v/>
      </c>
      <c r="U10" s="44">
        <f>IF($D10="Oui",S10*Poids_carte,0)</f>
        <v/>
      </c>
      <c r="V10" s="44">
        <f>IF($E10="Oui",S10*Poids_travaux,0)</f>
        <v/>
      </c>
      <c r="W10" s="44">
        <f>IF($F10="Oui",S10*T10,0)</f>
        <v/>
      </c>
      <c r="X10" s="44">
        <f>IF($G10="Oui",S10*Poids_participer,0)</f>
        <v/>
      </c>
      <c r="Y10" s="44">
        <f>IF($H10="Oui",S10*Poids_diagnostic,0)</f>
        <v/>
      </c>
      <c r="Z10" s="44">
        <f>SUM(U10:Y10)</f>
        <v/>
      </c>
      <c r="AA10" s="46">
        <f>COUNTIF($D10:$H10,"Oui")</f>
        <v/>
      </c>
      <c r="AB10" s="47">
        <f>MIN(0.9,MAX(0,AA10-1)*Remise_par_module_ajoute)</f>
        <v/>
      </c>
      <c r="AC10" s="44">
        <f>MAX(U10:Y10)*AB10</f>
        <v/>
      </c>
      <c r="AD10" s="44">
        <f>Z10-AC10</f>
        <v/>
      </c>
      <c r="AE10" s="47">
        <f>IFERROR(VLOOKUP($I10,Table_engagements,4,FALSE),0)</f>
        <v/>
      </c>
      <c r="AF10" s="44">
        <f>AD10*AE10</f>
        <v/>
      </c>
      <c r="AG10" s="44">
        <f>AD10-AF10</f>
        <v/>
      </c>
      <c r="AH10" s="44">
        <f>AG10*12</f>
        <v/>
      </c>
      <c r="AI10" s="44">
        <f>IF(R10&lt;Mise_en_service_offerte_sous,0,AG10*Mise_en_service_mois)</f>
        <v/>
      </c>
      <c r="AJ10" s="44">
        <f>AI10+AH10*IF(N($I10)&gt;0,$I10,1)</f>
        <v/>
      </c>
      <c r="AK10" s="48">
        <f>IF(AJ10&gt;=Seuil_3,"Procédure formalisée",IF(AJ10&gt;=Seuil_2,"Publicité obligatoire",IF(AJ10&gt;=Seuil_1,"Procédure adaptée","Sous les seuils")))</f>
        <v/>
      </c>
      <c r="AL10" s="43">
        <f>IF(AG10&lt;1000,10,IF(AG10&lt;10000,100,IF(AG10&lt;100000,1000,10000)))</f>
        <v/>
      </c>
      <c r="AM10" s="44">
        <f>FLOOR(AG10*(1-Fourchette_marge),AL10)</f>
        <v/>
      </c>
      <c r="AN10" s="44">
        <f>CEILING(AG10*(1+Fourchette_marge),AL10)</f>
        <v/>
      </c>
      <c r="AO10" s="43">
        <f>IF(AJ10&lt;1000,10,IF(AJ10&lt;10000,100,IF(AJ10&lt;100000,1000,10000)))</f>
        <v/>
      </c>
      <c r="AP10" s="44">
        <f>FLOOR(AJ10*(1-Fourchette_marge),AO10)</f>
        <v/>
      </c>
      <c r="AQ10" s="44">
        <f>CEILING(AJ10*(1+Fourchette_marge),AO10)</f>
        <v/>
      </c>
    </row>
    <row r="11">
      <c r="B11" s="5" t="inlineStr">
        <is>
          <t>Ville moyenne, carte et signalement</t>
        </is>
      </c>
      <c r="C11" s="8" t="n">
        <v>50000</v>
      </c>
      <c r="D11" s="11" t="inlineStr">
        <is>
          <t>Oui</t>
        </is>
      </c>
      <c r="E11" s="11" t="inlineStr">
        <is>
          <t>Non</t>
        </is>
      </c>
      <c r="F11" s="11" t="inlineStr">
        <is>
          <t>Non</t>
        </is>
      </c>
      <c r="G11" s="11" t="inlineStr">
        <is>
          <t>Oui</t>
        </is>
      </c>
      <c r="H11" s="11" t="inlineStr">
        <is>
          <t>Non</t>
        </is>
      </c>
      <c r="I11" s="16" t="n">
        <v>2</v>
      </c>
      <c r="J11" s="26">
        <f>IF($C11="","",AG11)</f>
        <v/>
      </c>
      <c r="K11" s="22">
        <f>IF($C11="","",AH11)</f>
        <v/>
      </c>
      <c r="L11" s="22">
        <f>IF($C11="","",AI11)</f>
        <v/>
      </c>
      <c r="M11" s="26">
        <f>IF($C11="","",AJ11)</f>
        <v/>
      </c>
      <c r="N11" s="49">
        <f>IF($C11="","",AK11)</f>
        <v/>
      </c>
      <c r="O11" s="49">
        <f>IF($C11="","",TRIM(TEXT(AM11,"# ##0"))&amp;" à "&amp;TRIM(TEXT(AN11,"# ##0"))&amp;" €")</f>
        <v/>
      </c>
      <c r="P11" s="49">
        <f>IF($C11="","",TRIM(TEXT(AP11,"# ##0"))&amp;" à "&amp;TRIM(TEXT(AQ11,"# ##0"))&amp;" €")</f>
        <v/>
      </c>
      <c r="R11" s="43">
        <f>MIN(Population_maximum,MAX(Population_minimum,ROUND($C11,0)))</f>
        <v/>
      </c>
      <c r="S11" s="44">
        <f>Prix_ancre*(R11/Population_ancre)^Exposant</f>
        <v/>
      </c>
      <c r="T11" s="45">
        <f>IF(R11&lt;=Chantiers_demi_poids_sous,Poids_chantiers/2,IF(R11&gt;=Chantiers_plein_poids_des,Poids_chantiers,Poids_chantiers*(0.5+0.5*(LN(R11)-LN(Chantiers_demi_poids_sous))/(LN(Chantiers_plein_poids_des)-LN(Chantiers_demi_poids_sous)))))</f>
        <v/>
      </c>
      <c r="U11" s="44">
        <f>IF($D11="Oui",S11*Poids_carte,0)</f>
        <v/>
      </c>
      <c r="V11" s="44">
        <f>IF($E11="Oui",S11*Poids_travaux,0)</f>
        <v/>
      </c>
      <c r="W11" s="44">
        <f>IF($F11="Oui",S11*T11,0)</f>
        <v/>
      </c>
      <c r="X11" s="44">
        <f>IF($G11="Oui",S11*Poids_participer,0)</f>
        <v/>
      </c>
      <c r="Y11" s="44">
        <f>IF($H11="Oui",S11*Poids_diagnostic,0)</f>
        <v/>
      </c>
      <c r="Z11" s="44">
        <f>SUM(U11:Y11)</f>
        <v/>
      </c>
      <c r="AA11" s="46">
        <f>COUNTIF($D11:$H11,"Oui")</f>
        <v/>
      </c>
      <c r="AB11" s="47">
        <f>MIN(0.9,MAX(0,AA11-1)*Remise_par_module_ajoute)</f>
        <v/>
      </c>
      <c r="AC11" s="44">
        <f>MAX(U11:Y11)*AB11</f>
        <v/>
      </c>
      <c r="AD11" s="44">
        <f>Z11-AC11</f>
        <v/>
      </c>
      <c r="AE11" s="47">
        <f>IFERROR(VLOOKUP($I11,Table_engagements,4,FALSE),0)</f>
        <v/>
      </c>
      <c r="AF11" s="44">
        <f>AD11*AE11</f>
        <v/>
      </c>
      <c r="AG11" s="44">
        <f>AD11-AF11</f>
        <v/>
      </c>
      <c r="AH11" s="44">
        <f>AG11*12</f>
        <v/>
      </c>
      <c r="AI11" s="44">
        <f>IF(R11&lt;Mise_en_service_offerte_sous,0,AG11*Mise_en_service_mois)</f>
        <v/>
      </c>
      <c r="AJ11" s="44">
        <f>AI11+AH11*IF(N($I11)&gt;0,$I11,1)</f>
        <v/>
      </c>
      <c r="AK11" s="48">
        <f>IF(AJ11&gt;=Seuil_3,"Procédure formalisée",IF(AJ11&gt;=Seuil_2,"Publicité obligatoire",IF(AJ11&gt;=Seuil_1,"Procédure adaptée","Sous les seuils")))</f>
        <v/>
      </c>
      <c r="AL11" s="43">
        <f>IF(AG11&lt;1000,10,IF(AG11&lt;10000,100,IF(AG11&lt;100000,1000,10000)))</f>
        <v/>
      </c>
      <c r="AM11" s="44">
        <f>FLOOR(AG11*(1-Fourchette_marge),AL11)</f>
        <v/>
      </c>
      <c r="AN11" s="44">
        <f>CEILING(AG11*(1+Fourchette_marge),AL11)</f>
        <v/>
      </c>
      <c r="AO11" s="43">
        <f>IF(AJ11&lt;1000,10,IF(AJ11&lt;10000,100,IF(AJ11&lt;100000,1000,10000)))</f>
        <v/>
      </c>
      <c r="AP11" s="44">
        <f>FLOOR(AJ11*(1-Fourchette_marge),AO11)</f>
        <v/>
      </c>
      <c r="AQ11" s="44">
        <f>CEILING(AJ11*(1+Fourchette_marge),AO11)</f>
        <v/>
      </c>
    </row>
    <row r="12">
      <c r="B12" s="5" t="inlineStr">
        <is>
          <t>Ville moyenne, la suite complète</t>
        </is>
      </c>
      <c r="C12" s="8" t="n">
        <v>50000</v>
      </c>
      <c r="D12" s="11" t="inlineStr">
        <is>
          <t>Oui</t>
        </is>
      </c>
      <c r="E12" s="11" t="inlineStr">
        <is>
          <t>Oui</t>
        </is>
      </c>
      <c r="F12" s="11" t="inlineStr">
        <is>
          <t>Oui</t>
        </is>
      </c>
      <c r="G12" s="11" t="inlineStr">
        <is>
          <t>Oui</t>
        </is>
      </c>
      <c r="H12" s="11" t="inlineStr">
        <is>
          <t>Oui</t>
        </is>
      </c>
      <c r="I12" s="16" t="n">
        <v>3</v>
      </c>
      <c r="J12" s="26">
        <f>IF($C12="","",AG12)</f>
        <v/>
      </c>
      <c r="K12" s="22">
        <f>IF($C12="","",AH12)</f>
        <v/>
      </c>
      <c r="L12" s="22">
        <f>IF($C12="","",AI12)</f>
        <v/>
      </c>
      <c r="M12" s="26">
        <f>IF($C12="","",AJ12)</f>
        <v/>
      </c>
      <c r="N12" s="49">
        <f>IF($C12="","",AK12)</f>
        <v/>
      </c>
      <c r="O12" s="49">
        <f>IF($C12="","",TRIM(TEXT(AM12,"# ##0"))&amp;" à "&amp;TRIM(TEXT(AN12,"# ##0"))&amp;" €")</f>
        <v/>
      </c>
      <c r="P12" s="49">
        <f>IF($C12="","",TRIM(TEXT(AP12,"# ##0"))&amp;" à "&amp;TRIM(TEXT(AQ12,"# ##0"))&amp;" €")</f>
        <v/>
      </c>
      <c r="R12" s="43">
        <f>MIN(Population_maximum,MAX(Population_minimum,ROUND($C12,0)))</f>
        <v/>
      </c>
      <c r="S12" s="44">
        <f>Prix_ancre*(R12/Population_ancre)^Exposant</f>
        <v/>
      </c>
      <c r="T12" s="45">
        <f>IF(R12&lt;=Chantiers_demi_poids_sous,Poids_chantiers/2,IF(R12&gt;=Chantiers_plein_poids_des,Poids_chantiers,Poids_chantiers*(0.5+0.5*(LN(R12)-LN(Chantiers_demi_poids_sous))/(LN(Chantiers_plein_poids_des)-LN(Chantiers_demi_poids_sous)))))</f>
        <v/>
      </c>
      <c r="U12" s="44">
        <f>IF($D12="Oui",S12*Poids_carte,0)</f>
        <v/>
      </c>
      <c r="V12" s="44">
        <f>IF($E12="Oui",S12*Poids_travaux,0)</f>
        <v/>
      </c>
      <c r="W12" s="44">
        <f>IF($F12="Oui",S12*T12,0)</f>
        <v/>
      </c>
      <c r="X12" s="44">
        <f>IF($G12="Oui",S12*Poids_participer,0)</f>
        <v/>
      </c>
      <c r="Y12" s="44">
        <f>IF($H12="Oui",S12*Poids_diagnostic,0)</f>
        <v/>
      </c>
      <c r="Z12" s="44">
        <f>SUM(U12:Y12)</f>
        <v/>
      </c>
      <c r="AA12" s="46">
        <f>COUNTIF($D12:$H12,"Oui")</f>
        <v/>
      </c>
      <c r="AB12" s="47">
        <f>MIN(0.9,MAX(0,AA12-1)*Remise_par_module_ajoute)</f>
        <v/>
      </c>
      <c r="AC12" s="44">
        <f>MAX(U12:Y12)*AB12</f>
        <v/>
      </c>
      <c r="AD12" s="44">
        <f>Z12-AC12</f>
        <v/>
      </c>
      <c r="AE12" s="47">
        <f>IFERROR(VLOOKUP($I12,Table_engagements,4,FALSE),0)</f>
        <v/>
      </c>
      <c r="AF12" s="44">
        <f>AD12*AE12</f>
        <v/>
      </c>
      <c r="AG12" s="44">
        <f>AD12-AF12</f>
        <v/>
      </c>
      <c r="AH12" s="44">
        <f>AG12*12</f>
        <v/>
      </c>
      <c r="AI12" s="44">
        <f>IF(R12&lt;Mise_en_service_offerte_sous,0,AG12*Mise_en_service_mois)</f>
        <v/>
      </c>
      <c r="AJ12" s="44">
        <f>AI12+AH12*IF(N($I12)&gt;0,$I12,1)</f>
        <v/>
      </c>
      <c r="AK12" s="48">
        <f>IF(AJ12&gt;=Seuil_3,"Procédure formalisée",IF(AJ12&gt;=Seuil_2,"Publicité obligatoire",IF(AJ12&gt;=Seuil_1,"Procédure adaptée","Sous les seuils")))</f>
        <v/>
      </c>
      <c r="AL12" s="43">
        <f>IF(AG12&lt;1000,10,IF(AG12&lt;10000,100,IF(AG12&lt;100000,1000,10000)))</f>
        <v/>
      </c>
      <c r="AM12" s="44">
        <f>FLOOR(AG12*(1-Fourchette_marge),AL12)</f>
        <v/>
      </c>
      <c r="AN12" s="44">
        <f>CEILING(AG12*(1+Fourchette_marge),AL12)</f>
        <v/>
      </c>
      <c r="AO12" s="43">
        <f>IF(AJ12&lt;1000,10,IF(AJ12&lt;10000,100,IF(AJ12&lt;100000,1000,10000)))</f>
        <v/>
      </c>
      <c r="AP12" s="44">
        <f>FLOOR(AJ12*(1-Fourchette_marge),AO12)</f>
        <v/>
      </c>
      <c r="AQ12" s="44">
        <f>CEILING(AJ12*(1+Fourchette_marge),AO12)</f>
        <v/>
      </c>
    </row>
    <row r="13">
      <c r="B13" s="5" t="inlineStr">
        <is>
          <t>Grande ville, carte et diagnostic</t>
        </is>
      </c>
      <c r="C13" s="8" t="n">
        <v>150000</v>
      </c>
      <c r="D13" s="11" t="inlineStr">
        <is>
          <t>Oui</t>
        </is>
      </c>
      <c r="E13" s="11" t="inlineStr">
        <is>
          <t>Non</t>
        </is>
      </c>
      <c r="F13" s="11" t="inlineStr">
        <is>
          <t>Non</t>
        </is>
      </c>
      <c r="G13" s="11" t="inlineStr">
        <is>
          <t>Non</t>
        </is>
      </c>
      <c r="H13" s="11" t="inlineStr">
        <is>
          <t>Oui</t>
        </is>
      </c>
      <c r="I13" s="16" t="n">
        <v>3</v>
      </c>
      <c r="J13" s="26">
        <f>IF($C13="","",AG13)</f>
        <v/>
      </c>
      <c r="K13" s="22">
        <f>IF($C13="","",AH13)</f>
        <v/>
      </c>
      <c r="L13" s="22">
        <f>IF($C13="","",AI13)</f>
        <v/>
      </c>
      <c r="M13" s="26">
        <f>IF($C13="","",AJ13)</f>
        <v/>
      </c>
      <c r="N13" s="49">
        <f>IF($C13="","",AK13)</f>
        <v/>
      </c>
      <c r="O13" s="49">
        <f>IF($C13="","",TRIM(TEXT(AM13,"# ##0"))&amp;" à "&amp;TRIM(TEXT(AN13,"# ##0"))&amp;" €")</f>
        <v/>
      </c>
      <c r="P13" s="49">
        <f>IF($C13="","",TRIM(TEXT(AP13,"# ##0"))&amp;" à "&amp;TRIM(TEXT(AQ13,"# ##0"))&amp;" €")</f>
        <v/>
      </c>
      <c r="R13" s="43">
        <f>MIN(Population_maximum,MAX(Population_minimum,ROUND($C13,0)))</f>
        <v/>
      </c>
      <c r="S13" s="44">
        <f>Prix_ancre*(R13/Population_ancre)^Exposant</f>
        <v/>
      </c>
      <c r="T13" s="45">
        <f>IF(R13&lt;=Chantiers_demi_poids_sous,Poids_chantiers/2,IF(R13&gt;=Chantiers_plein_poids_des,Poids_chantiers,Poids_chantiers*(0.5+0.5*(LN(R13)-LN(Chantiers_demi_poids_sous))/(LN(Chantiers_plein_poids_des)-LN(Chantiers_demi_poids_sous)))))</f>
        <v/>
      </c>
      <c r="U13" s="44">
        <f>IF($D13="Oui",S13*Poids_carte,0)</f>
        <v/>
      </c>
      <c r="V13" s="44">
        <f>IF($E13="Oui",S13*Poids_travaux,0)</f>
        <v/>
      </c>
      <c r="W13" s="44">
        <f>IF($F13="Oui",S13*T13,0)</f>
        <v/>
      </c>
      <c r="X13" s="44">
        <f>IF($G13="Oui",S13*Poids_participer,0)</f>
        <v/>
      </c>
      <c r="Y13" s="44">
        <f>IF($H13="Oui",S13*Poids_diagnostic,0)</f>
        <v/>
      </c>
      <c r="Z13" s="44">
        <f>SUM(U13:Y13)</f>
        <v/>
      </c>
      <c r="AA13" s="46">
        <f>COUNTIF($D13:$H13,"Oui")</f>
        <v/>
      </c>
      <c r="AB13" s="47">
        <f>MIN(0.9,MAX(0,AA13-1)*Remise_par_module_ajoute)</f>
        <v/>
      </c>
      <c r="AC13" s="44">
        <f>MAX(U13:Y13)*AB13</f>
        <v/>
      </c>
      <c r="AD13" s="44">
        <f>Z13-AC13</f>
        <v/>
      </c>
      <c r="AE13" s="47">
        <f>IFERROR(VLOOKUP($I13,Table_engagements,4,FALSE),0)</f>
        <v/>
      </c>
      <c r="AF13" s="44">
        <f>AD13*AE13</f>
        <v/>
      </c>
      <c r="AG13" s="44">
        <f>AD13-AF13</f>
        <v/>
      </c>
      <c r="AH13" s="44">
        <f>AG13*12</f>
        <v/>
      </c>
      <c r="AI13" s="44">
        <f>IF(R13&lt;Mise_en_service_offerte_sous,0,AG13*Mise_en_service_mois)</f>
        <v/>
      </c>
      <c r="AJ13" s="44">
        <f>AI13+AH13*IF(N($I13)&gt;0,$I13,1)</f>
        <v/>
      </c>
      <c r="AK13" s="48">
        <f>IF(AJ13&gt;=Seuil_3,"Procédure formalisée",IF(AJ13&gt;=Seuil_2,"Publicité obligatoire",IF(AJ13&gt;=Seuil_1,"Procédure adaptée","Sous les seuils")))</f>
        <v/>
      </c>
      <c r="AL13" s="43">
        <f>IF(AG13&lt;1000,10,IF(AG13&lt;10000,100,IF(AG13&lt;100000,1000,10000)))</f>
        <v/>
      </c>
      <c r="AM13" s="44">
        <f>FLOOR(AG13*(1-Fourchette_marge),AL13)</f>
        <v/>
      </c>
      <c r="AN13" s="44">
        <f>CEILING(AG13*(1+Fourchette_marge),AL13)</f>
        <v/>
      </c>
      <c r="AO13" s="43">
        <f>IF(AJ13&lt;1000,10,IF(AJ13&lt;10000,100,IF(AJ13&lt;100000,1000,10000)))</f>
        <v/>
      </c>
      <c r="AP13" s="44">
        <f>FLOOR(AJ13*(1-Fourchette_marge),AO13)</f>
        <v/>
      </c>
      <c r="AQ13" s="44">
        <f>CEILING(AJ13*(1+Fourchette_marge),AO13)</f>
        <v/>
      </c>
    </row>
    <row r="14">
      <c r="B14" s="5" t="inlineStr">
        <is>
          <t>Métropole, la carte seule</t>
        </is>
      </c>
      <c r="C14" s="8" t="n">
        <v>500000</v>
      </c>
      <c r="D14" s="11" t="inlineStr">
        <is>
          <t>Oui</t>
        </is>
      </c>
      <c r="E14" s="11" t="inlineStr">
        <is>
          <t>Non</t>
        </is>
      </c>
      <c r="F14" s="11" t="inlineStr">
        <is>
          <t>Non</t>
        </is>
      </c>
      <c r="G14" s="11" t="inlineStr">
        <is>
          <t>Non</t>
        </is>
      </c>
      <c r="H14" s="11" t="inlineStr">
        <is>
          <t>Non</t>
        </is>
      </c>
      <c r="I14" s="16" t="n">
        <v>4</v>
      </c>
      <c r="J14" s="26">
        <f>IF($C14="","",AG14)</f>
        <v/>
      </c>
      <c r="K14" s="22">
        <f>IF($C14="","",AH14)</f>
        <v/>
      </c>
      <c r="L14" s="22">
        <f>IF($C14="","",AI14)</f>
        <v/>
      </c>
      <c r="M14" s="26">
        <f>IF($C14="","",AJ14)</f>
        <v/>
      </c>
      <c r="N14" s="49">
        <f>IF($C14="","",AK14)</f>
        <v/>
      </c>
      <c r="O14" s="49">
        <f>IF($C14="","",TRIM(TEXT(AM14,"# ##0"))&amp;" à "&amp;TRIM(TEXT(AN14,"# ##0"))&amp;" €")</f>
        <v/>
      </c>
      <c r="P14" s="49">
        <f>IF($C14="","",TRIM(TEXT(AP14,"# ##0"))&amp;" à "&amp;TRIM(TEXT(AQ14,"# ##0"))&amp;" €")</f>
        <v/>
      </c>
      <c r="R14" s="43">
        <f>MIN(Population_maximum,MAX(Population_minimum,ROUND($C14,0)))</f>
        <v/>
      </c>
      <c r="S14" s="44">
        <f>Prix_ancre*(R14/Population_ancre)^Exposant</f>
        <v/>
      </c>
      <c r="T14" s="45">
        <f>IF(R14&lt;=Chantiers_demi_poids_sous,Poids_chantiers/2,IF(R14&gt;=Chantiers_plein_poids_des,Poids_chantiers,Poids_chantiers*(0.5+0.5*(LN(R14)-LN(Chantiers_demi_poids_sous))/(LN(Chantiers_plein_poids_des)-LN(Chantiers_demi_poids_sous)))))</f>
        <v/>
      </c>
      <c r="U14" s="44">
        <f>IF($D14="Oui",S14*Poids_carte,0)</f>
        <v/>
      </c>
      <c r="V14" s="44">
        <f>IF($E14="Oui",S14*Poids_travaux,0)</f>
        <v/>
      </c>
      <c r="W14" s="44">
        <f>IF($F14="Oui",S14*T14,0)</f>
        <v/>
      </c>
      <c r="X14" s="44">
        <f>IF($G14="Oui",S14*Poids_participer,0)</f>
        <v/>
      </c>
      <c r="Y14" s="44">
        <f>IF($H14="Oui",S14*Poids_diagnostic,0)</f>
        <v/>
      </c>
      <c r="Z14" s="44">
        <f>SUM(U14:Y14)</f>
        <v/>
      </c>
      <c r="AA14" s="46">
        <f>COUNTIF($D14:$H14,"Oui")</f>
        <v/>
      </c>
      <c r="AB14" s="47">
        <f>MIN(0.9,MAX(0,AA14-1)*Remise_par_module_ajoute)</f>
        <v/>
      </c>
      <c r="AC14" s="44">
        <f>MAX(U14:Y14)*AB14</f>
        <v/>
      </c>
      <c r="AD14" s="44">
        <f>Z14-AC14</f>
        <v/>
      </c>
      <c r="AE14" s="47">
        <f>IFERROR(VLOOKUP($I14,Table_engagements,4,FALSE),0)</f>
        <v/>
      </c>
      <c r="AF14" s="44">
        <f>AD14*AE14</f>
        <v/>
      </c>
      <c r="AG14" s="44">
        <f>AD14-AF14</f>
        <v/>
      </c>
      <c r="AH14" s="44">
        <f>AG14*12</f>
        <v/>
      </c>
      <c r="AI14" s="44">
        <f>IF(R14&lt;Mise_en_service_offerte_sous,0,AG14*Mise_en_service_mois)</f>
        <v/>
      </c>
      <c r="AJ14" s="44">
        <f>AI14+AH14*IF(N($I14)&gt;0,$I14,1)</f>
        <v/>
      </c>
      <c r="AK14" s="48">
        <f>IF(AJ14&gt;=Seuil_3,"Procédure formalisée",IF(AJ14&gt;=Seuil_2,"Publicité obligatoire",IF(AJ14&gt;=Seuil_1,"Procédure adaptée","Sous les seuils")))</f>
        <v/>
      </c>
      <c r="AL14" s="43">
        <f>IF(AG14&lt;1000,10,IF(AG14&lt;10000,100,IF(AG14&lt;100000,1000,10000)))</f>
        <v/>
      </c>
      <c r="AM14" s="44">
        <f>FLOOR(AG14*(1-Fourchette_marge),AL14)</f>
        <v/>
      </c>
      <c r="AN14" s="44">
        <f>CEILING(AG14*(1+Fourchette_marge),AL14)</f>
        <v/>
      </c>
      <c r="AO14" s="43">
        <f>IF(AJ14&lt;1000,10,IF(AJ14&lt;10000,100,IF(AJ14&lt;100000,1000,10000)))</f>
        <v/>
      </c>
      <c r="AP14" s="44">
        <f>FLOOR(AJ14*(1-Fourchette_marge),AO14)</f>
        <v/>
      </c>
      <c r="AQ14" s="44">
        <f>CEILING(AJ14*(1+Fourchette_marge),AO14)</f>
        <v/>
      </c>
    </row>
    <row r="15">
      <c r="B15" s="5" t="n"/>
      <c r="C15" s="8" t="n"/>
      <c r="D15" s="11" t="n"/>
      <c r="E15" s="11" t="n"/>
      <c r="F15" s="11" t="n"/>
      <c r="G15" s="11" t="n"/>
      <c r="H15" s="11" t="n"/>
      <c r="I15" s="16" t="n"/>
      <c r="J15" s="26">
        <f>IF($C15="","",AG15)</f>
        <v/>
      </c>
      <c r="K15" s="22">
        <f>IF($C15="","",AH15)</f>
        <v/>
      </c>
      <c r="L15" s="22">
        <f>IF($C15="","",AI15)</f>
        <v/>
      </c>
      <c r="M15" s="26">
        <f>IF($C15="","",AJ15)</f>
        <v/>
      </c>
      <c r="N15" s="49">
        <f>IF($C15="","",AK15)</f>
        <v/>
      </c>
      <c r="O15" s="49">
        <f>IF($C15="","",TRIM(TEXT(AM15,"# ##0"))&amp;" à "&amp;TRIM(TEXT(AN15,"# ##0"))&amp;" €")</f>
        <v/>
      </c>
      <c r="P15" s="49">
        <f>IF($C15="","",TRIM(TEXT(AP15,"# ##0"))&amp;" à "&amp;TRIM(TEXT(AQ15,"# ##0"))&amp;" €")</f>
        <v/>
      </c>
      <c r="R15" s="43">
        <f>MIN(Population_maximum,MAX(Population_minimum,ROUND($C15,0)))</f>
        <v/>
      </c>
      <c r="S15" s="44">
        <f>Prix_ancre*(R15/Population_ancre)^Exposant</f>
        <v/>
      </c>
      <c r="T15" s="45">
        <f>IF(R15&lt;=Chantiers_demi_poids_sous,Poids_chantiers/2,IF(R15&gt;=Chantiers_plein_poids_des,Poids_chantiers,Poids_chantiers*(0.5+0.5*(LN(R15)-LN(Chantiers_demi_poids_sous))/(LN(Chantiers_plein_poids_des)-LN(Chantiers_demi_poids_sous)))))</f>
        <v/>
      </c>
      <c r="U15" s="44">
        <f>IF($D15="Oui",S15*Poids_carte,0)</f>
        <v/>
      </c>
      <c r="V15" s="44">
        <f>IF($E15="Oui",S15*Poids_travaux,0)</f>
        <v/>
      </c>
      <c r="W15" s="44">
        <f>IF($F15="Oui",S15*T15,0)</f>
        <v/>
      </c>
      <c r="X15" s="44">
        <f>IF($G15="Oui",S15*Poids_participer,0)</f>
        <v/>
      </c>
      <c r="Y15" s="44">
        <f>IF($H15="Oui",S15*Poids_diagnostic,0)</f>
        <v/>
      </c>
      <c r="Z15" s="44">
        <f>SUM(U15:Y15)</f>
        <v/>
      </c>
      <c r="AA15" s="46">
        <f>COUNTIF($D15:$H15,"Oui")</f>
        <v/>
      </c>
      <c r="AB15" s="47">
        <f>MIN(0.9,MAX(0,AA15-1)*Remise_par_module_ajoute)</f>
        <v/>
      </c>
      <c r="AC15" s="44">
        <f>MAX(U15:Y15)*AB15</f>
        <v/>
      </c>
      <c r="AD15" s="44">
        <f>Z15-AC15</f>
        <v/>
      </c>
      <c r="AE15" s="47">
        <f>IFERROR(VLOOKUP($I15,Table_engagements,4,FALSE),0)</f>
        <v/>
      </c>
      <c r="AF15" s="44">
        <f>AD15*AE15</f>
        <v/>
      </c>
      <c r="AG15" s="44">
        <f>AD15-AF15</f>
        <v/>
      </c>
      <c r="AH15" s="44">
        <f>AG15*12</f>
        <v/>
      </c>
      <c r="AI15" s="44">
        <f>IF(R15&lt;Mise_en_service_offerte_sous,0,AG15*Mise_en_service_mois)</f>
        <v/>
      </c>
      <c r="AJ15" s="44">
        <f>AI15+AH15*IF(N($I15)&gt;0,$I15,1)</f>
        <v/>
      </c>
      <c r="AK15" s="48">
        <f>IF(AJ15&gt;=Seuil_3,"Procédure formalisée",IF(AJ15&gt;=Seuil_2,"Publicité obligatoire",IF(AJ15&gt;=Seuil_1,"Procédure adaptée","Sous les seuils")))</f>
        <v/>
      </c>
      <c r="AL15" s="43">
        <f>IF(AG15&lt;1000,10,IF(AG15&lt;10000,100,IF(AG15&lt;100000,1000,10000)))</f>
        <v/>
      </c>
      <c r="AM15" s="44">
        <f>FLOOR(AG15*(1-Fourchette_marge),AL15)</f>
        <v/>
      </c>
      <c r="AN15" s="44">
        <f>CEILING(AG15*(1+Fourchette_marge),AL15)</f>
        <v/>
      </c>
      <c r="AO15" s="43">
        <f>IF(AJ15&lt;1000,10,IF(AJ15&lt;10000,100,IF(AJ15&lt;100000,1000,10000)))</f>
        <v/>
      </c>
      <c r="AP15" s="44">
        <f>FLOOR(AJ15*(1-Fourchette_marge),AO15)</f>
        <v/>
      </c>
      <c r="AQ15" s="44">
        <f>CEILING(AJ15*(1+Fourchette_marge),AO15)</f>
        <v/>
      </c>
    </row>
    <row r="16">
      <c r="B16" s="5" t="n"/>
      <c r="C16" s="8" t="n"/>
      <c r="D16" s="11" t="n"/>
      <c r="E16" s="11" t="n"/>
      <c r="F16" s="11" t="n"/>
      <c r="G16" s="11" t="n"/>
      <c r="H16" s="11" t="n"/>
      <c r="I16" s="16" t="n"/>
      <c r="J16" s="26">
        <f>IF($C16="","",AG16)</f>
        <v/>
      </c>
      <c r="K16" s="22">
        <f>IF($C16="","",AH16)</f>
        <v/>
      </c>
      <c r="L16" s="22">
        <f>IF($C16="","",AI16)</f>
        <v/>
      </c>
      <c r="M16" s="26">
        <f>IF($C16="","",AJ16)</f>
        <v/>
      </c>
      <c r="N16" s="49">
        <f>IF($C16="","",AK16)</f>
        <v/>
      </c>
      <c r="O16" s="49">
        <f>IF($C16="","",TRIM(TEXT(AM16,"# ##0"))&amp;" à "&amp;TRIM(TEXT(AN16,"# ##0"))&amp;" €")</f>
        <v/>
      </c>
      <c r="P16" s="49">
        <f>IF($C16="","",TRIM(TEXT(AP16,"# ##0"))&amp;" à "&amp;TRIM(TEXT(AQ16,"# ##0"))&amp;" €")</f>
        <v/>
      </c>
      <c r="R16" s="43">
        <f>MIN(Population_maximum,MAX(Population_minimum,ROUND($C16,0)))</f>
        <v/>
      </c>
      <c r="S16" s="44">
        <f>Prix_ancre*(R16/Population_ancre)^Exposant</f>
        <v/>
      </c>
      <c r="T16" s="45">
        <f>IF(R16&lt;=Chantiers_demi_poids_sous,Poids_chantiers/2,IF(R16&gt;=Chantiers_plein_poids_des,Poids_chantiers,Poids_chantiers*(0.5+0.5*(LN(R16)-LN(Chantiers_demi_poids_sous))/(LN(Chantiers_plein_poids_des)-LN(Chantiers_demi_poids_sous)))))</f>
        <v/>
      </c>
      <c r="U16" s="44">
        <f>IF($D16="Oui",S16*Poids_carte,0)</f>
        <v/>
      </c>
      <c r="V16" s="44">
        <f>IF($E16="Oui",S16*Poids_travaux,0)</f>
        <v/>
      </c>
      <c r="W16" s="44">
        <f>IF($F16="Oui",S16*T16,0)</f>
        <v/>
      </c>
      <c r="X16" s="44">
        <f>IF($G16="Oui",S16*Poids_participer,0)</f>
        <v/>
      </c>
      <c r="Y16" s="44">
        <f>IF($H16="Oui",S16*Poids_diagnostic,0)</f>
        <v/>
      </c>
      <c r="Z16" s="44">
        <f>SUM(U16:Y16)</f>
        <v/>
      </c>
      <c r="AA16" s="46">
        <f>COUNTIF($D16:$H16,"Oui")</f>
        <v/>
      </c>
      <c r="AB16" s="47">
        <f>MIN(0.9,MAX(0,AA16-1)*Remise_par_module_ajoute)</f>
        <v/>
      </c>
      <c r="AC16" s="44">
        <f>MAX(U16:Y16)*AB16</f>
        <v/>
      </c>
      <c r="AD16" s="44">
        <f>Z16-AC16</f>
        <v/>
      </c>
      <c r="AE16" s="47">
        <f>IFERROR(VLOOKUP($I16,Table_engagements,4,FALSE),0)</f>
        <v/>
      </c>
      <c r="AF16" s="44">
        <f>AD16*AE16</f>
        <v/>
      </c>
      <c r="AG16" s="44">
        <f>AD16-AF16</f>
        <v/>
      </c>
      <c r="AH16" s="44">
        <f>AG16*12</f>
        <v/>
      </c>
      <c r="AI16" s="44">
        <f>IF(R16&lt;Mise_en_service_offerte_sous,0,AG16*Mise_en_service_mois)</f>
        <v/>
      </c>
      <c r="AJ16" s="44">
        <f>AI16+AH16*IF(N($I16)&gt;0,$I16,1)</f>
        <v/>
      </c>
      <c r="AK16" s="48">
        <f>IF(AJ16&gt;=Seuil_3,"Procédure formalisée",IF(AJ16&gt;=Seuil_2,"Publicité obligatoire",IF(AJ16&gt;=Seuil_1,"Procédure adaptée","Sous les seuils")))</f>
        <v/>
      </c>
      <c r="AL16" s="43">
        <f>IF(AG16&lt;1000,10,IF(AG16&lt;10000,100,IF(AG16&lt;100000,1000,10000)))</f>
        <v/>
      </c>
      <c r="AM16" s="44">
        <f>FLOOR(AG16*(1-Fourchette_marge),AL16)</f>
        <v/>
      </c>
      <c r="AN16" s="44">
        <f>CEILING(AG16*(1+Fourchette_marge),AL16)</f>
        <v/>
      </c>
      <c r="AO16" s="43">
        <f>IF(AJ16&lt;1000,10,IF(AJ16&lt;10000,100,IF(AJ16&lt;100000,1000,10000)))</f>
        <v/>
      </c>
      <c r="AP16" s="44">
        <f>FLOOR(AJ16*(1-Fourchette_marge),AO16)</f>
        <v/>
      </c>
      <c r="AQ16" s="44">
        <f>CEILING(AJ16*(1+Fourchette_marge),AO16)</f>
        <v/>
      </c>
    </row>
    <row r="17">
      <c r="B17" s="5" t="n"/>
      <c r="C17" s="8" t="n"/>
      <c r="D17" s="11" t="n"/>
      <c r="E17" s="11" t="n"/>
      <c r="F17" s="11" t="n"/>
      <c r="G17" s="11" t="n"/>
      <c r="H17" s="11" t="n"/>
      <c r="I17" s="16" t="n"/>
      <c r="J17" s="26">
        <f>IF($C17="","",AG17)</f>
        <v/>
      </c>
      <c r="K17" s="22">
        <f>IF($C17="","",AH17)</f>
        <v/>
      </c>
      <c r="L17" s="22">
        <f>IF($C17="","",AI17)</f>
        <v/>
      </c>
      <c r="M17" s="26">
        <f>IF($C17="","",AJ17)</f>
        <v/>
      </c>
      <c r="N17" s="49">
        <f>IF($C17="","",AK17)</f>
        <v/>
      </c>
      <c r="O17" s="49">
        <f>IF($C17="","",TRIM(TEXT(AM17,"# ##0"))&amp;" à "&amp;TRIM(TEXT(AN17,"# ##0"))&amp;" €")</f>
        <v/>
      </c>
      <c r="P17" s="49">
        <f>IF($C17="","",TRIM(TEXT(AP17,"# ##0"))&amp;" à "&amp;TRIM(TEXT(AQ17,"# ##0"))&amp;" €")</f>
        <v/>
      </c>
      <c r="R17" s="43">
        <f>MIN(Population_maximum,MAX(Population_minimum,ROUND($C17,0)))</f>
        <v/>
      </c>
      <c r="S17" s="44">
        <f>Prix_ancre*(R17/Population_ancre)^Exposant</f>
        <v/>
      </c>
      <c r="T17" s="45">
        <f>IF(R17&lt;=Chantiers_demi_poids_sous,Poids_chantiers/2,IF(R17&gt;=Chantiers_plein_poids_des,Poids_chantiers,Poids_chantiers*(0.5+0.5*(LN(R17)-LN(Chantiers_demi_poids_sous))/(LN(Chantiers_plein_poids_des)-LN(Chantiers_demi_poids_sous)))))</f>
        <v/>
      </c>
      <c r="U17" s="44">
        <f>IF($D17="Oui",S17*Poids_carte,0)</f>
        <v/>
      </c>
      <c r="V17" s="44">
        <f>IF($E17="Oui",S17*Poids_travaux,0)</f>
        <v/>
      </c>
      <c r="W17" s="44">
        <f>IF($F17="Oui",S17*T17,0)</f>
        <v/>
      </c>
      <c r="X17" s="44">
        <f>IF($G17="Oui",S17*Poids_participer,0)</f>
        <v/>
      </c>
      <c r="Y17" s="44">
        <f>IF($H17="Oui",S17*Poids_diagnostic,0)</f>
        <v/>
      </c>
      <c r="Z17" s="44">
        <f>SUM(U17:Y17)</f>
        <v/>
      </c>
      <c r="AA17" s="46">
        <f>COUNTIF($D17:$H17,"Oui")</f>
        <v/>
      </c>
      <c r="AB17" s="47">
        <f>MIN(0.9,MAX(0,AA17-1)*Remise_par_module_ajoute)</f>
        <v/>
      </c>
      <c r="AC17" s="44">
        <f>MAX(U17:Y17)*AB17</f>
        <v/>
      </c>
      <c r="AD17" s="44">
        <f>Z17-AC17</f>
        <v/>
      </c>
      <c r="AE17" s="47">
        <f>IFERROR(VLOOKUP($I17,Table_engagements,4,FALSE),0)</f>
        <v/>
      </c>
      <c r="AF17" s="44">
        <f>AD17*AE17</f>
        <v/>
      </c>
      <c r="AG17" s="44">
        <f>AD17-AF17</f>
        <v/>
      </c>
      <c r="AH17" s="44">
        <f>AG17*12</f>
        <v/>
      </c>
      <c r="AI17" s="44">
        <f>IF(R17&lt;Mise_en_service_offerte_sous,0,AG17*Mise_en_service_mois)</f>
        <v/>
      </c>
      <c r="AJ17" s="44">
        <f>AI17+AH17*IF(N($I17)&gt;0,$I17,1)</f>
        <v/>
      </c>
      <c r="AK17" s="48">
        <f>IF(AJ17&gt;=Seuil_3,"Procédure formalisée",IF(AJ17&gt;=Seuil_2,"Publicité obligatoire",IF(AJ17&gt;=Seuil_1,"Procédure adaptée","Sous les seuils")))</f>
        <v/>
      </c>
      <c r="AL17" s="43">
        <f>IF(AG17&lt;1000,10,IF(AG17&lt;10000,100,IF(AG17&lt;100000,1000,10000)))</f>
        <v/>
      </c>
      <c r="AM17" s="44">
        <f>FLOOR(AG17*(1-Fourchette_marge),AL17)</f>
        <v/>
      </c>
      <c r="AN17" s="44">
        <f>CEILING(AG17*(1+Fourchette_marge),AL17)</f>
        <v/>
      </c>
      <c r="AO17" s="43">
        <f>IF(AJ17&lt;1000,10,IF(AJ17&lt;10000,100,IF(AJ17&lt;100000,1000,10000)))</f>
        <v/>
      </c>
      <c r="AP17" s="44">
        <f>FLOOR(AJ17*(1-Fourchette_marge),AO17)</f>
        <v/>
      </c>
      <c r="AQ17" s="44">
        <f>CEILING(AJ17*(1+Fourchette_marge),AO17)</f>
        <v/>
      </c>
    </row>
    <row r="18">
      <c r="B18" s="5" t="n"/>
      <c r="C18" s="8" t="n"/>
      <c r="D18" s="11" t="n"/>
      <c r="E18" s="11" t="n"/>
      <c r="F18" s="11" t="n"/>
      <c r="G18" s="11" t="n"/>
      <c r="H18" s="11" t="n"/>
      <c r="I18" s="16" t="n"/>
      <c r="J18" s="26">
        <f>IF($C18="","",AG18)</f>
        <v/>
      </c>
      <c r="K18" s="22">
        <f>IF($C18="","",AH18)</f>
        <v/>
      </c>
      <c r="L18" s="22">
        <f>IF($C18="","",AI18)</f>
        <v/>
      </c>
      <c r="M18" s="26">
        <f>IF($C18="","",AJ18)</f>
        <v/>
      </c>
      <c r="N18" s="49">
        <f>IF($C18="","",AK18)</f>
        <v/>
      </c>
      <c r="O18" s="49">
        <f>IF($C18="","",TRIM(TEXT(AM18,"# ##0"))&amp;" à "&amp;TRIM(TEXT(AN18,"# ##0"))&amp;" €")</f>
        <v/>
      </c>
      <c r="P18" s="49">
        <f>IF($C18="","",TRIM(TEXT(AP18,"# ##0"))&amp;" à "&amp;TRIM(TEXT(AQ18,"# ##0"))&amp;" €")</f>
        <v/>
      </c>
      <c r="R18" s="43">
        <f>MIN(Population_maximum,MAX(Population_minimum,ROUND($C18,0)))</f>
        <v/>
      </c>
      <c r="S18" s="44">
        <f>Prix_ancre*(R18/Population_ancre)^Exposant</f>
        <v/>
      </c>
      <c r="T18" s="45">
        <f>IF(R18&lt;=Chantiers_demi_poids_sous,Poids_chantiers/2,IF(R18&gt;=Chantiers_plein_poids_des,Poids_chantiers,Poids_chantiers*(0.5+0.5*(LN(R18)-LN(Chantiers_demi_poids_sous))/(LN(Chantiers_plein_poids_des)-LN(Chantiers_demi_poids_sous)))))</f>
        <v/>
      </c>
      <c r="U18" s="44">
        <f>IF($D18="Oui",S18*Poids_carte,0)</f>
        <v/>
      </c>
      <c r="V18" s="44">
        <f>IF($E18="Oui",S18*Poids_travaux,0)</f>
        <v/>
      </c>
      <c r="W18" s="44">
        <f>IF($F18="Oui",S18*T18,0)</f>
        <v/>
      </c>
      <c r="X18" s="44">
        <f>IF($G18="Oui",S18*Poids_participer,0)</f>
        <v/>
      </c>
      <c r="Y18" s="44">
        <f>IF($H18="Oui",S18*Poids_diagnostic,0)</f>
        <v/>
      </c>
      <c r="Z18" s="44">
        <f>SUM(U18:Y18)</f>
        <v/>
      </c>
      <c r="AA18" s="46">
        <f>COUNTIF($D18:$H18,"Oui")</f>
        <v/>
      </c>
      <c r="AB18" s="47">
        <f>MIN(0.9,MAX(0,AA18-1)*Remise_par_module_ajoute)</f>
        <v/>
      </c>
      <c r="AC18" s="44">
        <f>MAX(U18:Y18)*AB18</f>
        <v/>
      </c>
      <c r="AD18" s="44">
        <f>Z18-AC18</f>
        <v/>
      </c>
      <c r="AE18" s="47">
        <f>IFERROR(VLOOKUP($I18,Table_engagements,4,FALSE),0)</f>
        <v/>
      </c>
      <c r="AF18" s="44">
        <f>AD18*AE18</f>
        <v/>
      </c>
      <c r="AG18" s="44">
        <f>AD18-AF18</f>
        <v/>
      </c>
      <c r="AH18" s="44">
        <f>AG18*12</f>
        <v/>
      </c>
      <c r="AI18" s="44">
        <f>IF(R18&lt;Mise_en_service_offerte_sous,0,AG18*Mise_en_service_mois)</f>
        <v/>
      </c>
      <c r="AJ18" s="44">
        <f>AI18+AH18*IF(N($I18)&gt;0,$I18,1)</f>
        <v/>
      </c>
      <c r="AK18" s="48">
        <f>IF(AJ18&gt;=Seuil_3,"Procédure formalisée",IF(AJ18&gt;=Seuil_2,"Publicité obligatoire",IF(AJ18&gt;=Seuil_1,"Procédure adaptée","Sous les seuils")))</f>
        <v/>
      </c>
      <c r="AL18" s="43">
        <f>IF(AG18&lt;1000,10,IF(AG18&lt;10000,100,IF(AG18&lt;100000,1000,10000)))</f>
        <v/>
      </c>
      <c r="AM18" s="44">
        <f>FLOOR(AG18*(1-Fourchette_marge),AL18)</f>
        <v/>
      </c>
      <c r="AN18" s="44">
        <f>CEILING(AG18*(1+Fourchette_marge),AL18)</f>
        <v/>
      </c>
      <c r="AO18" s="43">
        <f>IF(AJ18&lt;1000,10,IF(AJ18&lt;10000,100,IF(AJ18&lt;100000,1000,10000)))</f>
        <v/>
      </c>
      <c r="AP18" s="44">
        <f>FLOOR(AJ18*(1-Fourchette_marge),AO18)</f>
        <v/>
      </c>
      <c r="AQ18" s="44">
        <f>CEILING(AJ18*(1+Fourchette_marge),AO18)</f>
        <v/>
      </c>
    </row>
    <row r="19">
      <c r="B19" s="5" t="n"/>
      <c r="C19" s="8" t="n"/>
      <c r="D19" s="11" t="n"/>
      <c r="E19" s="11" t="n"/>
      <c r="F19" s="11" t="n"/>
      <c r="G19" s="11" t="n"/>
      <c r="H19" s="11" t="n"/>
      <c r="I19" s="16" t="n"/>
      <c r="J19" s="26">
        <f>IF($C19="","",AG19)</f>
        <v/>
      </c>
      <c r="K19" s="22">
        <f>IF($C19="","",AH19)</f>
        <v/>
      </c>
      <c r="L19" s="22">
        <f>IF($C19="","",AI19)</f>
        <v/>
      </c>
      <c r="M19" s="26">
        <f>IF($C19="","",AJ19)</f>
        <v/>
      </c>
      <c r="N19" s="49">
        <f>IF($C19="","",AK19)</f>
        <v/>
      </c>
      <c r="O19" s="49">
        <f>IF($C19="","",TRIM(TEXT(AM19,"# ##0"))&amp;" à "&amp;TRIM(TEXT(AN19,"# ##0"))&amp;" €")</f>
        <v/>
      </c>
      <c r="P19" s="49">
        <f>IF($C19="","",TRIM(TEXT(AP19,"# ##0"))&amp;" à "&amp;TRIM(TEXT(AQ19,"# ##0"))&amp;" €")</f>
        <v/>
      </c>
      <c r="R19" s="43">
        <f>MIN(Population_maximum,MAX(Population_minimum,ROUND($C19,0)))</f>
        <v/>
      </c>
      <c r="S19" s="44">
        <f>Prix_ancre*(R19/Population_ancre)^Exposant</f>
        <v/>
      </c>
      <c r="T19" s="45">
        <f>IF(R19&lt;=Chantiers_demi_poids_sous,Poids_chantiers/2,IF(R19&gt;=Chantiers_plein_poids_des,Poids_chantiers,Poids_chantiers*(0.5+0.5*(LN(R19)-LN(Chantiers_demi_poids_sous))/(LN(Chantiers_plein_poids_des)-LN(Chantiers_demi_poids_sous)))))</f>
        <v/>
      </c>
      <c r="U19" s="44">
        <f>IF($D19="Oui",S19*Poids_carte,0)</f>
        <v/>
      </c>
      <c r="V19" s="44">
        <f>IF($E19="Oui",S19*Poids_travaux,0)</f>
        <v/>
      </c>
      <c r="W19" s="44">
        <f>IF($F19="Oui",S19*T19,0)</f>
        <v/>
      </c>
      <c r="X19" s="44">
        <f>IF($G19="Oui",S19*Poids_participer,0)</f>
        <v/>
      </c>
      <c r="Y19" s="44">
        <f>IF($H19="Oui",S19*Poids_diagnostic,0)</f>
        <v/>
      </c>
      <c r="Z19" s="44">
        <f>SUM(U19:Y19)</f>
        <v/>
      </c>
      <c r="AA19" s="46">
        <f>COUNTIF($D19:$H19,"Oui")</f>
        <v/>
      </c>
      <c r="AB19" s="47">
        <f>MIN(0.9,MAX(0,AA19-1)*Remise_par_module_ajoute)</f>
        <v/>
      </c>
      <c r="AC19" s="44">
        <f>MAX(U19:Y19)*AB19</f>
        <v/>
      </c>
      <c r="AD19" s="44">
        <f>Z19-AC19</f>
        <v/>
      </c>
      <c r="AE19" s="47">
        <f>IFERROR(VLOOKUP($I19,Table_engagements,4,FALSE),0)</f>
        <v/>
      </c>
      <c r="AF19" s="44">
        <f>AD19*AE19</f>
        <v/>
      </c>
      <c r="AG19" s="44">
        <f>AD19-AF19</f>
        <v/>
      </c>
      <c r="AH19" s="44">
        <f>AG19*12</f>
        <v/>
      </c>
      <c r="AI19" s="44">
        <f>IF(R19&lt;Mise_en_service_offerte_sous,0,AG19*Mise_en_service_mois)</f>
        <v/>
      </c>
      <c r="AJ19" s="44">
        <f>AI19+AH19*IF(N($I19)&gt;0,$I19,1)</f>
        <v/>
      </c>
      <c r="AK19" s="48">
        <f>IF(AJ19&gt;=Seuil_3,"Procédure formalisée",IF(AJ19&gt;=Seuil_2,"Publicité obligatoire",IF(AJ19&gt;=Seuil_1,"Procédure adaptée","Sous les seuils")))</f>
        <v/>
      </c>
      <c r="AL19" s="43">
        <f>IF(AG19&lt;1000,10,IF(AG19&lt;10000,100,IF(AG19&lt;100000,1000,10000)))</f>
        <v/>
      </c>
      <c r="AM19" s="44">
        <f>FLOOR(AG19*(1-Fourchette_marge),AL19)</f>
        <v/>
      </c>
      <c r="AN19" s="44">
        <f>CEILING(AG19*(1+Fourchette_marge),AL19)</f>
        <v/>
      </c>
      <c r="AO19" s="43">
        <f>IF(AJ19&lt;1000,10,IF(AJ19&lt;10000,100,IF(AJ19&lt;100000,1000,10000)))</f>
        <v/>
      </c>
      <c r="AP19" s="44">
        <f>FLOOR(AJ19*(1-Fourchette_marge),AO19)</f>
        <v/>
      </c>
      <c r="AQ19" s="44">
        <f>CEILING(AJ19*(1+Fourchette_marge),AO19)</f>
        <v/>
      </c>
    </row>
    <row r="20">
      <c r="B20" s="5" t="n"/>
      <c r="C20" s="8" t="n"/>
      <c r="D20" s="11" t="n"/>
      <c r="E20" s="11" t="n"/>
      <c r="F20" s="11" t="n"/>
      <c r="G20" s="11" t="n"/>
      <c r="H20" s="11" t="n"/>
      <c r="I20" s="16" t="n"/>
      <c r="J20" s="26">
        <f>IF($C20="","",AG20)</f>
        <v/>
      </c>
      <c r="K20" s="22">
        <f>IF($C20="","",AH20)</f>
        <v/>
      </c>
      <c r="L20" s="22">
        <f>IF($C20="","",AI20)</f>
        <v/>
      </c>
      <c r="M20" s="26">
        <f>IF($C20="","",AJ20)</f>
        <v/>
      </c>
      <c r="N20" s="49">
        <f>IF($C20="","",AK20)</f>
        <v/>
      </c>
      <c r="O20" s="49">
        <f>IF($C20="","",TRIM(TEXT(AM20,"# ##0"))&amp;" à "&amp;TRIM(TEXT(AN20,"# ##0"))&amp;" €")</f>
        <v/>
      </c>
      <c r="P20" s="49">
        <f>IF($C20="","",TRIM(TEXT(AP20,"# ##0"))&amp;" à "&amp;TRIM(TEXT(AQ20,"# ##0"))&amp;" €")</f>
        <v/>
      </c>
      <c r="R20" s="43">
        <f>MIN(Population_maximum,MAX(Population_minimum,ROUND($C20,0)))</f>
        <v/>
      </c>
      <c r="S20" s="44">
        <f>Prix_ancre*(R20/Population_ancre)^Exposant</f>
        <v/>
      </c>
      <c r="T20" s="45">
        <f>IF(R20&lt;=Chantiers_demi_poids_sous,Poids_chantiers/2,IF(R20&gt;=Chantiers_plein_poids_des,Poids_chantiers,Poids_chantiers*(0.5+0.5*(LN(R20)-LN(Chantiers_demi_poids_sous))/(LN(Chantiers_plein_poids_des)-LN(Chantiers_demi_poids_sous)))))</f>
        <v/>
      </c>
      <c r="U20" s="44">
        <f>IF($D20="Oui",S20*Poids_carte,0)</f>
        <v/>
      </c>
      <c r="V20" s="44">
        <f>IF($E20="Oui",S20*Poids_travaux,0)</f>
        <v/>
      </c>
      <c r="W20" s="44">
        <f>IF($F20="Oui",S20*T20,0)</f>
        <v/>
      </c>
      <c r="X20" s="44">
        <f>IF($G20="Oui",S20*Poids_participer,0)</f>
        <v/>
      </c>
      <c r="Y20" s="44">
        <f>IF($H20="Oui",S20*Poids_diagnostic,0)</f>
        <v/>
      </c>
      <c r="Z20" s="44">
        <f>SUM(U20:Y20)</f>
        <v/>
      </c>
      <c r="AA20" s="46">
        <f>COUNTIF($D20:$H20,"Oui")</f>
        <v/>
      </c>
      <c r="AB20" s="47">
        <f>MIN(0.9,MAX(0,AA20-1)*Remise_par_module_ajoute)</f>
        <v/>
      </c>
      <c r="AC20" s="44">
        <f>MAX(U20:Y20)*AB20</f>
        <v/>
      </c>
      <c r="AD20" s="44">
        <f>Z20-AC20</f>
        <v/>
      </c>
      <c r="AE20" s="47">
        <f>IFERROR(VLOOKUP($I20,Table_engagements,4,FALSE),0)</f>
        <v/>
      </c>
      <c r="AF20" s="44">
        <f>AD20*AE20</f>
        <v/>
      </c>
      <c r="AG20" s="44">
        <f>AD20-AF20</f>
        <v/>
      </c>
      <c r="AH20" s="44">
        <f>AG20*12</f>
        <v/>
      </c>
      <c r="AI20" s="44">
        <f>IF(R20&lt;Mise_en_service_offerte_sous,0,AG20*Mise_en_service_mois)</f>
        <v/>
      </c>
      <c r="AJ20" s="44">
        <f>AI20+AH20*IF(N($I20)&gt;0,$I20,1)</f>
        <v/>
      </c>
      <c r="AK20" s="48">
        <f>IF(AJ20&gt;=Seuil_3,"Procédure formalisée",IF(AJ20&gt;=Seuil_2,"Publicité obligatoire",IF(AJ20&gt;=Seuil_1,"Procédure adaptée","Sous les seuils")))</f>
        <v/>
      </c>
      <c r="AL20" s="43">
        <f>IF(AG20&lt;1000,10,IF(AG20&lt;10000,100,IF(AG20&lt;100000,1000,10000)))</f>
        <v/>
      </c>
      <c r="AM20" s="44">
        <f>FLOOR(AG20*(1-Fourchette_marge),AL20)</f>
        <v/>
      </c>
      <c r="AN20" s="44">
        <f>CEILING(AG20*(1+Fourchette_marge),AL20)</f>
        <v/>
      </c>
      <c r="AO20" s="43">
        <f>IF(AJ20&lt;1000,10,IF(AJ20&lt;10000,100,IF(AJ20&lt;100000,1000,10000)))</f>
        <v/>
      </c>
      <c r="AP20" s="44">
        <f>FLOOR(AJ20*(1-Fourchette_marge),AO20)</f>
        <v/>
      </c>
      <c r="AQ20" s="44">
        <f>CEILING(AJ20*(1+Fourchette_marge),AO20)</f>
        <v/>
      </c>
    </row>
    <row r="21">
      <c r="B21" s="5" t="n"/>
      <c r="C21" s="8" t="n"/>
      <c r="D21" s="11" t="n"/>
      <c r="E21" s="11" t="n"/>
      <c r="F21" s="11" t="n"/>
      <c r="G21" s="11" t="n"/>
      <c r="H21" s="11" t="n"/>
      <c r="I21" s="16" t="n"/>
      <c r="J21" s="26">
        <f>IF($C21="","",AG21)</f>
        <v/>
      </c>
      <c r="K21" s="22">
        <f>IF($C21="","",AH21)</f>
        <v/>
      </c>
      <c r="L21" s="22">
        <f>IF($C21="","",AI21)</f>
        <v/>
      </c>
      <c r="M21" s="26">
        <f>IF($C21="","",AJ21)</f>
        <v/>
      </c>
      <c r="N21" s="49">
        <f>IF($C21="","",AK21)</f>
        <v/>
      </c>
      <c r="O21" s="49">
        <f>IF($C21="","",TRIM(TEXT(AM21,"# ##0"))&amp;" à "&amp;TRIM(TEXT(AN21,"# ##0"))&amp;" €")</f>
        <v/>
      </c>
      <c r="P21" s="49">
        <f>IF($C21="","",TRIM(TEXT(AP21,"# ##0"))&amp;" à "&amp;TRIM(TEXT(AQ21,"# ##0"))&amp;" €")</f>
        <v/>
      </c>
      <c r="R21" s="43">
        <f>MIN(Population_maximum,MAX(Population_minimum,ROUND($C21,0)))</f>
        <v/>
      </c>
      <c r="S21" s="44">
        <f>Prix_ancre*(R21/Population_ancre)^Exposant</f>
        <v/>
      </c>
      <c r="T21" s="45">
        <f>IF(R21&lt;=Chantiers_demi_poids_sous,Poids_chantiers/2,IF(R21&gt;=Chantiers_plein_poids_des,Poids_chantiers,Poids_chantiers*(0.5+0.5*(LN(R21)-LN(Chantiers_demi_poids_sous))/(LN(Chantiers_plein_poids_des)-LN(Chantiers_demi_poids_sous)))))</f>
        <v/>
      </c>
      <c r="U21" s="44">
        <f>IF($D21="Oui",S21*Poids_carte,0)</f>
        <v/>
      </c>
      <c r="V21" s="44">
        <f>IF($E21="Oui",S21*Poids_travaux,0)</f>
        <v/>
      </c>
      <c r="W21" s="44">
        <f>IF($F21="Oui",S21*T21,0)</f>
        <v/>
      </c>
      <c r="X21" s="44">
        <f>IF($G21="Oui",S21*Poids_participer,0)</f>
        <v/>
      </c>
      <c r="Y21" s="44">
        <f>IF($H21="Oui",S21*Poids_diagnostic,0)</f>
        <v/>
      </c>
      <c r="Z21" s="44">
        <f>SUM(U21:Y21)</f>
        <v/>
      </c>
      <c r="AA21" s="46">
        <f>COUNTIF($D21:$H21,"Oui")</f>
        <v/>
      </c>
      <c r="AB21" s="47">
        <f>MIN(0.9,MAX(0,AA21-1)*Remise_par_module_ajoute)</f>
        <v/>
      </c>
      <c r="AC21" s="44">
        <f>MAX(U21:Y21)*AB21</f>
        <v/>
      </c>
      <c r="AD21" s="44">
        <f>Z21-AC21</f>
        <v/>
      </c>
      <c r="AE21" s="47">
        <f>IFERROR(VLOOKUP($I21,Table_engagements,4,FALSE),0)</f>
        <v/>
      </c>
      <c r="AF21" s="44">
        <f>AD21*AE21</f>
        <v/>
      </c>
      <c r="AG21" s="44">
        <f>AD21-AF21</f>
        <v/>
      </c>
      <c r="AH21" s="44">
        <f>AG21*12</f>
        <v/>
      </c>
      <c r="AI21" s="44">
        <f>IF(R21&lt;Mise_en_service_offerte_sous,0,AG21*Mise_en_service_mois)</f>
        <v/>
      </c>
      <c r="AJ21" s="44">
        <f>AI21+AH21*IF(N($I21)&gt;0,$I21,1)</f>
        <v/>
      </c>
      <c r="AK21" s="48">
        <f>IF(AJ21&gt;=Seuil_3,"Procédure formalisée",IF(AJ21&gt;=Seuil_2,"Publicité obligatoire",IF(AJ21&gt;=Seuil_1,"Procédure adaptée","Sous les seuils")))</f>
        <v/>
      </c>
      <c r="AL21" s="43">
        <f>IF(AG21&lt;1000,10,IF(AG21&lt;10000,100,IF(AG21&lt;100000,1000,10000)))</f>
        <v/>
      </c>
      <c r="AM21" s="44">
        <f>FLOOR(AG21*(1-Fourchette_marge),AL21)</f>
        <v/>
      </c>
      <c r="AN21" s="44">
        <f>CEILING(AG21*(1+Fourchette_marge),AL21)</f>
        <v/>
      </c>
      <c r="AO21" s="43">
        <f>IF(AJ21&lt;1000,10,IF(AJ21&lt;10000,100,IF(AJ21&lt;100000,1000,10000)))</f>
        <v/>
      </c>
      <c r="AP21" s="44">
        <f>FLOOR(AJ21*(1-Fourchette_marge),AO21)</f>
        <v/>
      </c>
      <c r="AQ21" s="44">
        <f>CEILING(AJ21*(1+Fourchette_marge),AO21)</f>
        <v/>
      </c>
    </row>
    <row r="22">
      <c r="B22" s="5" t="n"/>
      <c r="C22" s="8" t="n"/>
      <c r="D22" s="11" t="n"/>
      <c r="E22" s="11" t="n"/>
      <c r="F22" s="11" t="n"/>
      <c r="G22" s="11" t="n"/>
      <c r="H22" s="11" t="n"/>
      <c r="I22" s="16" t="n"/>
      <c r="J22" s="26">
        <f>IF($C22="","",AG22)</f>
        <v/>
      </c>
      <c r="K22" s="22">
        <f>IF($C22="","",AH22)</f>
        <v/>
      </c>
      <c r="L22" s="22">
        <f>IF($C22="","",AI22)</f>
        <v/>
      </c>
      <c r="M22" s="26">
        <f>IF($C22="","",AJ22)</f>
        <v/>
      </c>
      <c r="N22" s="49">
        <f>IF($C22="","",AK22)</f>
        <v/>
      </c>
      <c r="O22" s="49">
        <f>IF($C22="","",TRIM(TEXT(AM22,"# ##0"))&amp;" à "&amp;TRIM(TEXT(AN22,"# ##0"))&amp;" €")</f>
        <v/>
      </c>
      <c r="P22" s="49">
        <f>IF($C22="","",TRIM(TEXT(AP22,"# ##0"))&amp;" à "&amp;TRIM(TEXT(AQ22,"# ##0"))&amp;" €")</f>
        <v/>
      </c>
      <c r="R22" s="43">
        <f>MIN(Population_maximum,MAX(Population_minimum,ROUND($C22,0)))</f>
        <v/>
      </c>
      <c r="S22" s="44">
        <f>Prix_ancre*(R22/Population_ancre)^Exposant</f>
        <v/>
      </c>
      <c r="T22" s="45">
        <f>IF(R22&lt;=Chantiers_demi_poids_sous,Poids_chantiers/2,IF(R22&gt;=Chantiers_plein_poids_des,Poids_chantiers,Poids_chantiers*(0.5+0.5*(LN(R22)-LN(Chantiers_demi_poids_sous))/(LN(Chantiers_plein_poids_des)-LN(Chantiers_demi_poids_sous)))))</f>
        <v/>
      </c>
      <c r="U22" s="44">
        <f>IF($D22="Oui",S22*Poids_carte,0)</f>
        <v/>
      </c>
      <c r="V22" s="44">
        <f>IF($E22="Oui",S22*Poids_travaux,0)</f>
        <v/>
      </c>
      <c r="W22" s="44">
        <f>IF($F22="Oui",S22*T22,0)</f>
        <v/>
      </c>
      <c r="X22" s="44">
        <f>IF($G22="Oui",S22*Poids_participer,0)</f>
        <v/>
      </c>
      <c r="Y22" s="44">
        <f>IF($H22="Oui",S22*Poids_diagnostic,0)</f>
        <v/>
      </c>
      <c r="Z22" s="44">
        <f>SUM(U22:Y22)</f>
        <v/>
      </c>
      <c r="AA22" s="46">
        <f>COUNTIF($D22:$H22,"Oui")</f>
        <v/>
      </c>
      <c r="AB22" s="47">
        <f>MIN(0.9,MAX(0,AA22-1)*Remise_par_module_ajoute)</f>
        <v/>
      </c>
      <c r="AC22" s="44">
        <f>MAX(U22:Y22)*AB22</f>
        <v/>
      </c>
      <c r="AD22" s="44">
        <f>Z22-AC22</f>
        <v/>
      </c>
      <c r="AE22" s="47">
        <f>IFERROR(VLOOKUP($I22,Table_engagements,4,FALSE),0)</f>
        <v/>
      </c>
      <c r="AF22" s="44">
        <f>AD22*AE22</f>
        <v/>
      </c>
      <c r="AG22" s="44">
        <f>AD22-AF22</f>
        <v/>
      </c>
      <c r="AH22" s="44">
        <f>AG22*12</f>
        <v/>
      </c>
      <c r="AI22" s="44">
        <f>IF(R22&lt;Mise_en_service_offerte_sous,0,AG22*Mise_en_service_mois)</f>
        <v/>
      </c>
      <c r="AJ22" s="44">
        <f>AI22+AH22*IF(N($I22)&gt;0,$I22,1)</f>
        <v/>
      </c>
      <c r="AK22" s="48">
        <f>IF(AJ22&gt;=Seuil_3,"Procédure formalisée",IF(AJ22&gt;=Seuil_2,"Publicité obligatoire",IF(AJ22&gt;=Seuil_1,"Procédure adaptée","Sous les seuils")))</f>
        <v/>
      </c>
      <c r="AL22" s="43">
        <f>IF(AG22&lt;1000,10,IF(AG22&lt;10000,100,IF(AG22&lt;100000,1000,10000)))</f>
        <v/>
      </c>
      <c r="AM22" s="44">
        <f>FLOOR(AG22*(1-Fourchette_marge),AL22)</f>
        <v/>
      </c>
      <c r="AN22" s="44">
        <f>CEILING(AG22*(1+Fourchette_marge),AL22)</f>
        <v/>
      </c>
      <c r="AO22" s="43">
        <f>IF(AJ22&lt;1000,10,IF(AJ22&lt;10000,100,IF(AJ22&lt;100000,1000,10000)))</f>
        <v/>
      </c>
      <c r="AP22" s="44">
        <f>FLOOR(AJ22*(1-Fourchette_marge),AO22)</f>
        <v/>
      </c>
      <c r="AQ22" s="44">
        <f>CEILING(AJ22*(1+Fourchette_marge),AO22)</f>
        <v/>
      </c>
    </row>
    <row r="23">
      <c r="B23" s="5" t="n"/>
      <c r="C23" s="8" t="n"/>
      <c r="D23" s="11" t="n"/>
      <c r="E23" s="11" t="n"/>
      <c r="F23" s="11" t="n"/>
      <c r="G23" s="11" t="n"/>
      <c r="H23" s="11" t="n"/>
      <c r="I23" s="16" t="n"/>
      <c r="J23" s="26">
        <f>IF($C23="","",AG23)</f>
        <v/>
      </c>
      <c r="K23" s="22">
        <f>IF($C23="","",AH23)</f>
        <v/>
      </c>
      <c r="L23" s="22">
        <f>IF($C23="","",AI23)</f>
        <v/>
      </c>
      <c r="M23" s="26">
        <f>IF($C23="","",AJ23)</f>
        <v/>
      </c>
      <c r="N23" s="49">
        <f>IF($C23="","",AK23)</f>
        <v/>
      </c>
      <c r="O23" s="49">
        <f>IF($C23="","",TRIM(TEXT(AM23,"# ##0"))&amp;" à "&amp;TRIM(TEXT(AN23,"# ##0"))&amp;" €")</f>
        <v/>
      </c>
      <c r="P23" s="49">
        <f>IF($C23="","",TRIM(TEXT(AP23,"# ##0"))&amp;" à "&amp;TRIM(TEXT(AQ23,"# ##0"))&amp;" €")</f>
        <v/>
      </c>
      <c r="R23" s="43">
        <f>MIN(Population_maximum,MAX(Population_minimum,ROUND($C23,0)))</f>
        <v/>
      </c>
      <c r="S23" s="44">
        <f>Prix_ancre*(R23/Population_ancre)^Exposant</f>
        <v/>
      </c>
      <c r="T23" s="45">
        <f>IF(R23&lt;=Chantiers_demi_poids_sous,Poids_chantiers/2,IF(R23&gt;=Chantiers_plein_poids_des,Poids_chantiers,Poids_chantiers*(0.5+0.5*(LN(R23)-LN(Chantiers_demi_poids_sous))/(LN(Chantiers_plein_poids_des)-LN(Chantiers_demi_poids_sous)))))</f>
        <v/>
      </c>
      <c r="U23" s="44">
        <f>IF($D23="Oui",S23*Poids_carte,0)</f>
        <v/>
      </c>
      <c r="V23" s="44">
        <f>IF($E23="Oui",S23*Poids_travaux,0)</f>
        <v/>
      </c>
      <c r="W23" s="44">
        <f>IF($F23="Oui",S23*T23,0)</f>
        <v/>
      </c>
      <c r="X23" s="44">
        <f>IF($G23="Oui",S23*Poids_participer,0)</f>
        <v/>
      </c>
      <c r="Y23" s="44">
        <f>IF($H23="Oui",S23*Poids_diagnostic,0)</f>
        <v/>
      </c>
      <c r="Z23" s="44">
        <f>SUM(U23:Y23)</f>
        <v/>
      </c>
      <c r="AA23" s="46">
        <f>COUNTIF($D23:$H23,"Oui")</f>
        <v/>
      </c>
      <c r="AB23" s="47">
        <f>MIN(0.9,MAX(0,AA23-1)*Remise_par_module_ajoute)</f>
        <v/>
      </c>
      <c r="AC23" s="44">
        <f>MAX(U23:Y23)*AB23</f>
        <v/>
      </c>
      <c r="AD23" s="44">
        <f>Z23-AC23</f>
        <v/>
      </c>
      <c r="AE23" s="47">
        <f>IFERROR(VLOOKUP($I23,Table_engagements,4,FALSE),0)</f>
        <v/>
      </c>
      <c r="AF23" s="44">
        <f>AD23*AE23</f>
        <v/>
      </c>
      <c r="AG23" s="44">
        <f>AD23-AF23</f>
        <v/>
      </c>
      <c r="AH23" s="44">
        <f>AG23*12</f>
        <v/>
      </c>
      <c r="AI23" s="44">
        <f>IF(R23&lt;Mise_en_service_offerte_sous,0,AG23*Mise_en_service_mois)</f>
        <v/>
      </c>
      <c r="AJ23" s="44">
        <f>AI23+AH23*IF(N($I23)&gt;0,$I23,1)</f>
        <v/>
      </c>
      <c r="AK23" s="48">
        <f>IF(AJ23&gt;=Seuil_3,"Procédure formalisée",IF(AJ23&gt;=Seuil_2,"Publicité obligatoire",IF(AJ23&gt;=Seuil_1,"Procédure adaptée","Sous les seuils")))</f>
        <v/>
      </c>
      <c r="AL23" s="43">
        <f>IF(AG23&lt;1000,10,IF(AG23&lt;10000,100,IF(AG23&lt;100000,1000,10000)))</f>
        <v/>
      </c>
      <c r="AM23" s="44">
        <f>FLOOR(AG23*(1-Fourchette_marge),AL23)</f>
        <v/>
      </c>
      <c r="AN23" s="44">
        <f>CEILING(AG23*(1+Fourchette_marge),AL23)</f>
        <v/>
      </c>
      <c r="AO23" s="43">
        <f>IF(AJ23&lt;1000,10,IF(AJ23&lt;10000,100,IF(AJ23&lt;100000,1000,10000)))</f>
        <v/>
      </c>
      <c r="AP23" s="44">
        <f>FLOOR(AJ23*(1-Fourchette_marge),AO23)</f>
        <v/>
      </c>
      <c r="AQ23" s="44">
        <f>CEILING(AJ23*(1+Fourchette_marge),AO23)</f>
        <v/>
      </c>
    </row>
    <row r="24">
      <c r="B24" s="5" t="n"/>
      <c r="C24" s="8" t="n"/>
      <c r="D24" s="11" t="n"/>
      <c r="E24" s="11" t="n"/>
      <c r="F24" s="11" t="n"/>
      <c r="G24" s="11" t="n"/>
      <c r="H24" s="11" t="n"/>
      <c r="I24" s="16" t="n"/>
      <c r="J24" s="26">
        <f>IF($C24="","",AG24)</f>
        <v/>
      </c>
      <c r="K24" s="22">
        <f>IF($C24="","",AH24)</f>
        <v/>
      </c>
      <c r="L24" s="22">
        <f>IF($C24="","",AI24)</f>
        <v/>
      </c>
      <c r="M24" s="26">
        <f>IF($C24="","",AJ24)</f>
        <v/>
      </c>
      <c r="N24" s="49">
        <f>IF($C24="","",AK24)</f>
        <v/>
      </c>
      <c r="O24" s="49">
        <f>IF($C24="","",TRIM(TEXT(AM24,"# ##0"))&amp;" à "&amp;TRIM(TEXT(AN24,"# ##0"))&amp;" €")</f>
        <v/>
      </c>
      <c r="P24" s="49">
        <f>IF($C24="","",TRIM(TEXT(AP24,"# ##0"))&amp;" à "&amp;TRIM(TEXT(AQ24,"# ##0"))&amp;" €")</f>
        <v/>
      </c>
      <c r="R24" s="43">
        <f>MIN(Population_maximum,MAX(Population_minimum,ROUND($C24,0)))</f>
        <v/>
      </c>
      <c r="S24" s="44">
        <f>Prix_ancre*(R24/Population_ancre)^Exposant</f>
        <v/>
      </c>
      <c r="T24" s="45">
        <f>IF(R24&lt;=Chantiers_demi_poids_sous,Poids_chantiers/2,IF(R24&gt;=Chantiers_plein_poids_des,Poids_chantiers,Poids_chantiers*(0.5+0.5*(LN(R24)-LN(Chantiers_demi_poids_sous))/(LN(Chantiers_plein_poids_des)-LN(Chantiers_demi_poids_sous)))))</f>
        <v/>
      </c>
      <c r="U24" s="44">
        <f>IF($D24="Oui",S24*Poids_carte,0)</f>
        <v/>
      </c>
      <c r="V24" s="44">
        <f>IF($E24="Oui",S24*Poids_travaux,0)</f>
        <v/>
      </c>
      <c r="W24" s="44">
        <f>IF($F24="Oui",S24*T24,0)</f>
        <v/>
      </c>
      <c r="X24" s="44">
        <f>IF($G24="Oui",S24*Poids_participer,0)</f>
        <v/>
      </c>
      <c r="Y24" s="44">
        <f>IF($H24="Oui",S24*Poids_diagnostic,0)</f>
        <v/>
      </c>
      <c r="Z24" s="44">
        <f>SUM(U24:Y24)</f>
        <v/>
      </c>
      <c r="AA24" s="46">
        <f>COUNTIF($D24:$H24,"Oui")</f>
        <v/>
      </c>
      <c r="AB24" s="47">
        <f>MIN(0.9,MAX(0,AA24-1)*Remise_par_module_ajoute)</f>
        <v/>
      </c>
      <c r="AC24" s="44">
        <f>MAX(U24:Y24)*AB24</f>
        <v/>
      </c>
      <c r="AD24" s="44">
        <f>Z24-AC24</f>
        <v/>
      </c>
      <c r="AE24" s="47">
        <f>IFERROR(VLOOKUP($I24,Table_engagements,4,FALSE),0)</f>
        <v/>
      </c>
      <c r="AF24" s="44">
        <f>AD24*AE24</f>
        <v/>
      </c>
      <c r="AG24" s="44">
        <f>AD24-AF24</f>
        <v/>
      </c>
      <c r="AH24" s="44">
        <f>AG24*12</f>
        <v/>
      </c>
      <c r="AI24" s="44">
        <f>IF(R24&lt;Mise_en_service_offerte_sous,0,AG24*Mise_en_service_mois)</f>
        <v/>
      </c>
      <c r="AJ24" s="44">
        <f>AI24+AH24*IF(N($I24)&gt;0,$I24,1)</f>
        <v/>
      </c>
      <c r="AK24" s="48">
        <f>IF(AJ24&gt;=Seuil_3,"Procédure formalisée",IF(AJ24&gt;=Seuil_2,"Publicité obligatoire",IF(AJ24&gt;=Seuil_1,"Procédure adaptée","Sous les seuils")))</f>
        <v/>
      </c>
      <c r="AL24" s="43">
        <f>IF(AG24&lt;1000,10,IF(AG24&lt;10000,100,IF(AG24&lt;100000,1000,10000)))</f>
        <v/>
      </c>
      <c r="AM24" s="44">
        <f>FLOOR(AG24*(1-Fourchette_marge),AL24)</f>
        <v/>
      </c>
      <c r="AN24" s="44">
        <f>CEILING(AG24*(1+Fourchette_marge),AL24)</f>
        <v/>
      </c>
      <c r="AO24" s="43">
        <f>IF(AJ24&lt;1000,10,IF(AJ24&lt;10000,100,IF(AJ24&lt;100000,1000,10000)))</f>
        <v/>
      </c>
      <c r="AP24" s="44">
        <f>FLOOR(AJ24*(1-Fourchette_marge),AO24)</f>
        <v/>
      </c>
      <c r="AQ24" s="44">
        <f>CEILING(AJ24*(1+Fourchette_marge),AO24)</f>
        <v/>
      </c>
    </row>
    <row r="25">
      <c r="B25" s="5" t="n"/>
      <c r="C25" s="8" t="n"/>
      <c r="D25" s="11" t="n"/>
      <c r="E25" s="11" t="n"/>
      <c r="F25" s="11" t="n"/>
      <c r="G25" s="11" t="n"/>
      <c r="H25" s="11" t="n"/>
      <c r="I25" s="16" t="n"/>
      <c r="J25" s="26">
        <f>IF($C25="","",AG25)</f>
        <v/>
      </c>
      <c r="K25" s="22">
        <f>IF($C25="","",AH25)</f>
        <v/>
      </c>
      <c r="L25" s="22">
        <f>IF($C25="","",AI25)</f>
        <v/>
      </c>
      <c r="M25" s="26">
        <f>IF($C25="","",AJ25)</f>
        <v/>
      </c>
      <c r="N25" s="49">
        <f>IF($C25="","",AK25)</f>
        <v/>
      </c>
      <c r="O25" s="49">
        <f>IF($C25="","",TRIM(TEXT(AM25,"# ##0"))&amp;" à "&amp;TRIM(TEXT(AN25,"# ##0"))&amp;" €")</f>
        <v/>
      </c>
      <c r="P25" s="49">
        <f>IF($C25="","",TRIM(TEXT(AP25,"# ##0"))&amp;" à "&amp;TRIM(TEXT(AQ25,"# ##0"))&amp;" €")</f>
        <v/>
      </c>
      <c r="R25" s="43">
        <f>MIN(Population_maximum,MAX(Population_minimum,ROUND($C25,0)))</f>
        <v/>
      </c>
      <c r="S25" s="44">
        <f>Prix_ancre*(R25/Population_ancre)^Exposant</f>
        <v/>
      </c>
      <c r="T25" s="45">
        <f>IF(R25&lt;=Chantiers_demi_poids_sous,Poids_chantiers/2,IF(R25&gt;=Chantiers_plein_poids_des,Poids_chantiers,Poids_chantiers*(0.5+0.5*(LN(R25)-LN(Chantiers_demi_poids_sous))/(LN(Chantiers_plein_poids_des)-LN(Chantiers_demi_poids_sous)))))</f>
        <v/>
      </c>
      <c r="U25" s="44">
        <f>IF($D25="Oui",S25*Poids_carte,0)</f>
        <v/>
      </c>
      <c r="V25" s="44">
        <f>IF($E25="Oui",S25*Poids_travaux,0)</f>
        <v/>
      </c>
      <c r="W25" s="44">
        <f>IF($F25="Oui",S25*T25,0)</f>
        <v/>
      </c>
      <c r="X25" s="44">
        <f>IF($G25="Oui",S25*Poids_participer,0)</f>
        <v/>
      </c>
      <c r="Y25" s="44">
        <f>IF($H25="Oui",S25*Poids_diagnostic,0)</f>
        <v/>
      </c>
      <c r="Z25" s="44">
        <f>SUM(U25:Y25)</f>
        <v/>
      </c>
      <c r="AA25" s="46">
        <f>COUNTIF($D25:$H25,"Oui")</f>
        <v/>
      </c>
      <c r="AB25" s="47">
        <f>MIN(0.9,MAX(0,AA25-1)*Remise_par_module_ajoute)</f>
        <v/>
      </c>
      <c r="AC25" s="44">
        <f>MAX(U25:Y25)*AB25</f>
        <v/>
      </c>
      <c r="AD25" s="44">
        <f>Z25-AC25</f>
        <v/>
      </c>
      <c r="AE25" s="47">
        <f>IFERROR(VLOOKUP($I25,Table_engagements,4,FALSE),0)</f>
        <v/>
      </c>
      <c r="AF25" s="44">
        <f>AD25*AE25</f>
        <v/>
      </c>
      <c r="AG25" s="44">
        <f>AD25-AF25</f>
        <v/>
      </c>
      <c r="AH25" s="44">
        <f>AG25*12</f>
        <v/>
      </c>
      <c r="AI25" s="44">
        <f>IF(R25&lt;Mise_en_service_offerte_sous,0,AG25*Mise_en_service_mois)</f>
        <v/>
      </c>
      <c r="AJ25" s="44">
        <f>AI25+AH25*IF(N($I25)&gt;0,$I25,1)</f>
        <v/>
      </c>
      <c r="AK25" s="48">
        <f>IF(AJ25&gt;=Seuil_3,"Procédure formalisée",IF(AJ25&gt;=Seuil_2,"Publicité obligatoire",IF(AJ25&gt;=Seuil_1,"Procédure adaptée","Sous les seuils")))</f>
        <v/>
      </c>
      <c r="AL25" s="43">
        <f>IF(AG25&lt;1000,10,IF(AG25&lt;10000,100,IF(AG25&lt;100000,1000,10000)))</f>
        <v/>
      </c>
      <c r="AM25" s="44">
        <f>FLOOR(AG25*(1-Fourchette_marge),AL25)</f>
        <v/>
      </c>
      <c r="AN25" s="44">
        <f>CEILING(AG25*(1+Fourchette_marge),AL25)</f>
        <v/>
      </c>
      <c r="AO25" s="43">
        <f>IF(AJ25&lt;1000,10,IF(AJ25&lt;10000,100,IF(AJ25&lt;100000,1000,10000)))</f>
        <v/>
      </c>
      <c r="AP25" s="44">
        <f>FLOOR(AJ25*(1-Fourchette_marge),AO25)</f>
        <v/>
      </c>
      <c r="AQ25" s="44">
        <f>CEILING(AJ25*(1+Fourchette_marge),AO25)</f>
        <v/>
      </c>
    </row>
    <row r="26">
      <c r="B26" s="5" t="n"/>
      <c r="C26" s="8" t="n"/>
      <c r="D26" s="11" t="n"/>
      <c r="E26" s="11" t="n"/>
      <c r="F26" s="11" t="n"/>
      <c r="G26" s="11" t="n"/>
      <c r="H26" s="11" t="n"/>
      <c r="I26" s="16" t="n"/>
      <c r="J26" s="26">
        <f>IF($C26="","",AG26)</f>
        <v/>
      </c>
      <c r="K26" s="22">
        <f>IF($C26="","",AH26)</f>
        <v/>
      </c>
      <c r="L26" s="22">
        <f>IF($C26="","",AI26)</f>
        <v/>
      </c>
      <c r="M26" s="26">
        <f>IF($C26="","",AJ26)</f>
        <v/>
      </c>
      <c r="N26" s="49">
        <f>IF($C26="","",AK26)</f>
        <v/>
      </c>
      <c r="O26" s="49">
        <f>IF($C26="","",TRIM(TEXT(AM26,"# ##0"))&amp;" à "&amp;TRIM(TEXT(AN26,"# ##0"))&amp;" €")</f>
        <v/>
      </c>
      <c r="P26" s="49">
        <f>IF($C26="","",TRIM(TEXT(AP26,"# ##0"))&amp;" à "&amp;TRIM(TEXT(AQ26,"# ##0"))&amp;" €")</f>
        <v/>
      </c>
      <c r="R26" s="43">
        <f>MIN(Population_maximum,MAX(Population_minimum,ROUND($C26,0)))</f>
        <v/>
      </c>
      <c r="S26" s="44">
        <f>Prix_ancre*(R26/Population_ancre)^Exposant</f>
        <v/>
      </c>
      <c r="T26" s="45">
        <f>IF(R26&lt;=Chantiers_demi_poids_sous,Poids_chantiers/2,IF(R26&gt;=Chantiers_plein_poids_des,Poids_chantiers,Poids_chantiers*(0.5+0.5*(LN(R26)-LN(Chantiers_demi_poids_sous))/(LN(Chantiers_plein_poids_des)-LN(Chantiers_demi_poids_sous)))))</f>
        <v/>
      </c>
      <c r="U26" s="44">
        <f>IF($D26="Oui",S26*Poids_carte,0)</f>
        <v/>
      </c>
      <c r="V26" s="44">
        <f>IF($E26="Oui",S26*Poids_travaux,0)</f>
        <v/>
      </c>
      <c r="W26" s="44">
        <f>IF($F26="Oui",S26*T26,0)</f>
        <v/>
      </c>
      <c r="X26" s="44">
        <f>IF($G26="Oui",S26*Poids_participer,0)</f>
        <v/>
      </c>
      <c r="Y26" s="44">
        <f>IF($H26="Oui",S26*Poids_diagnostic,0)</f>
        <v/>
      </c>
      <c r="Z26" s="44">
        <f>SUM(U26:Y26)</f>
        <v/>
      </c>
      <c r="AA26" s="46">
        <f>COUNTIF($D26:$H26,"Oui")</f>
        <v/>
      </c>
      <c r="AB26" s="47">
        <f>MIN(0.9,MAX(0,AA26-1)*Remise_par_module_ajoute)</f>
        <v/>
      </c>
      <c r="AC26" s="44">
        <f>MAX(U26:Y26)*AB26</f>
        <v/>
      </c>
      <c r="AD26" s="44">
        <f>Z26-AC26</f>
        <v/>
      </c>
      <c r="AE26" s="47">
        <f>IFERROR(VLOOKUP($I26,Table_engagements,4,FALSE),0)</f>
        <v/>
      </c>
      <c r="AF26" s="44">
        <f>AD26*AE26</f>
        <v/>
      </c>
      <c r="AG26" s="44">
        <f>AD26-AF26</f>
        <v/>
      </c>
      <c r="AH26" s="44">
        <f>AG26*12</f>
        <v/>
      </c>
      <c r="AI26" s="44">
        <f>IF(R26&lt;Mise_en_service_offerte_sous,0,AG26*Mise_en_service_mois)</f>
        <v/>
      </c>
      <c r="AJ26" s="44">
        <f>AI26+AH26*IF(N($I26)&gt;0,$I26,1)</f>
        <v/>
      </c>
      <c r="AK26" s="48">
        <f>IF(AJ26&gt;=Seuil_3,"Procédure formalisée",IF(AJ26&gt;=Seuil_2,"Publicité obligatoire",IF(AJ26&gt;=Seuil_1,"Procédure adaptée","Sous les seuils")))</f>
        <v/>
      </c>
      <c r="AL26" s="43">
        <f>IF(AG26&lt;1000,10,IF(AG26&lt;10000,100,IF(AG26&lt;100000,1000,10000)))</f>
        <v/>
      </c>
      <c r="AM26" s="44">
        <f>FLOOR(AG26*(1-Fourchette_marge),AL26)</f>
        <v/>
      </c>
      <c r="AN26" s="44">
        <f>CEILING(AG26*(1+Fourchette_marge),AL26)</f>
        <v/>
      </c>
      <c r="AO26" s="43">
        <f>IF(AJ26&lt;1000,10,IF(AJ26&lt;10000,100,IF(AJ26&lt;100000,1000,10000)))</f>
        <v/>
      </c>
      <c r="AP26" s="44">
        <f>FLOOR(AJ26*(1-Fourchette_marge),AO26)</f>
        <v/>
      </c>
      <c r="AQ26" s="44">
        <f>CEILING(AJ26*(1+Fourchette_marge),AO26)</f>
        <v/>
      </c>
    </row>
    <row r="27">
      <c r="B27" s="5" t="n"/>
      <c r="C27" s="8" t="n"/>
      <c r="D27" s="11" t="n"/>
      <c r="E27" s="11" t="n"/>
      <c r="F27" s="11" t="n"/>
      <c r="G27" s="11" t="n"/>
      <c r="H27" s="11" t="n"/>
      <c r="I27" s="16" t="n"/>
      <c r="J27" s="26">
        <f>IF($C27="","",AG27)</f>
        <v/>
      </c>
      <c r="K27" s="22">
        <f>IF($C27="","",AH27)</f>
        <v/>
      </c>
      <c r="L27" s="22">
        <f>IF($C27="","",AI27)</f>
        <v/>
      </c>
      <c r="M27" s="26">
        <f>IF($C27="","",AJ27)</f>
        <v/>
      </c>
      <c r="N27" s="49">
        <f>IF($C27="","",AK27)</f>
        <v/>
      </c>
      <c r="O27" s="49">
        <f>IF($C27="","",TRIM(TEXT(AM27,"# ##0"))&amp;" à "&amp;TRIM(TEXT(AN27,"# ##0"))&amp;" €")</f>
        <v/>
      </c>
      <c r="P27" s="49">
        <f>IF($C27="","",TRIM(TEXT(AP27,"# ##0"))&amp;" à "&amp;TRIM(TEXT(AQ27,"# ##0"))&amp;" €")</f>
        <v/>
      </c>
      <c r="R27" s="43">
        <f>MIN(Population_maximum,MAX(Population_minimum,ROUND($C27,0)))</f>
        <v/>
      </c>
      <c r="S27" s="44">
        <f>Prix_ancre*(R27/Population_ancre)^Exposant</f>
        <v/>
      </c>
      <c r="T27" s="45">
        <f>IF(R27&lt;=Chantiers_demi_poids_sous,Poids_chantiers/2,IF(R27&gt;=Chantiers_plein_poids_des,Poids_chantiers,Poids_chantiers*(0.5+0.5*(LN(R27)-LN(Chantiers_demi_poids_sous))/(LN(Chantiers_plein_poids_des)-LN(Chantiers_demi_poids_sous)))))</f>
        <v/>
      </c>
      <c r="U27" s="44">
        <f>IF($D27="Oui",S27*Poids_carte,0)</f>
        <v/>
      </c>
      <c r="V27" s="44">
        <f>IF($E27="Oui",S27*Poids_travaux,0)</f>
        <v/>
      </c>
      <c r="W27" s="44">
        <f>IF($F27="Oui",S27*T27,0)</f>
        <v/>
      </c>
      <c r="X27" s="44">
        <f>IF($G27="Oui",S27*Poids_participer,0)</f>
        <v/>
      </c>
      <c r="Y27" s="44">
        <f>IF($H27="Oui",S27*Poids_diagnostic,0)</f>
        <v/>
      </c>
      <c r="Z27" s="44">
        <f>SUM(U27:Y27)</f>
        <v/>
      </c>
      <c r="AA27" s="46">
        <f>COUNTIF($D27:$H27,"Oui")</f>
        <v/>
      </c>
      <c r="AB27" s="47">
        <f>MIN(0.9,MAX(0,AA27-1)*Remise_par_module_ajoute)</f>
        <v/>
      </c>
      <c r="AC27" s="44">
        <f>MAX(U27:Y27)*AB27</f>
        <v/>
      </c>
      <c r="AD27" s="44">
        <f>Z27-AC27</f>
        <v/>
      </c>
      <c r="AE27" s="47">
        <f>IFERROR(VLOOKUP($I27,Table_engagements,4,FALSE),0)</f>
        <v/>
      </c>
      <c r="AF27" s="44">
        <f>AD27*AE27</f>
        <v/>
      </c>
      <c r="AG27" s="44">
        <f>AD27-AF27</f>
        <v/>
      </c>
      <c r="AH27" s="44">
        <f>AG27*12</f>
        <v/>
      </c>
      <c r="AI27" s="44">
        <f>IF(R27&lt;Mise_en_service_offerte_sous,0,AG27*Mise_en_service_mois)</f>
        <v/>
      </c>
      <c r="AJ27" s="44">
        <f>AI27+AH27*IF(N($I27)&gt;0,$I27,1)</f>
        <v/>
      </c>
      <c r="AK27" s="48">
        <f>IF(AJ27&gt;=Seuil_3,"Procédure formalisée",IF(AJ27&gt;=Seuil_2,"Publicité obligatoire",IF(AJ27&gt;=Seuil_1,"Procédure adaptée","Sous les seuils")))</f>
        <v/>
      </c>
      <c r="AL27" s="43">
        <f>IF(AG27&lt;1000,10,IF(AG27&lt;10000,100,IF(AG27&lt;100000,1000,10000)))</f>
        <v/>
      </c>
      <c r="AM27" s="44">
        <f>FLOOR(AG27*(1-Fourchette_marge),AL27)</f>
        <v/>
      </c>
      <c r="AN27" s="44">
        <f>CEILING(AG27*(1+Fourchette_marge),AL27)</f>
        <v/>
      </c>
      <c r="AO27" s="43">
        <f>IF(AJ27&lt;1000,10,IF(AJ27&lt;10000,100,IF(AJ27&lt;100000,1000,10000)))</f>
        <v/>
      </c>
      <c r="AP27" s="44">
        <f>FLOOR(AJ27*(1-Fourchette_marge),AO27)</f>
        <v/>
      </c>
      <c r="AQ27" s="44">
        <f>CEILING(AJ27*(1+Fourchette_marge),AO27)</f>
        <v/>
      </c>
    </row>
    <row r="28">
      <c r="B28" s="5" t="n"/>
      <c r="C28" s="8" t="n"/>
      <c r="D28" s="11" t="n"/>
      <c r="E28" s="11" t="n"/>
      <c r="F28" s="11" t="n"/>
      <c r="G28" s="11" t="n"/>
      <c r="H28" s="11" t="n"/>
      <c r="I28" s="16" t="n"/>
      <c r="J28" s="26">
        <f>IF($C28="","",AG28)</f>
        <v/>
      </c>
      <c r="K28" s="22">
        <f>IF($C28="","",AH28)</f>
        <v/>
      </c>
      <c r="L28" s="22">
        <f>IF($C28="","",AI28)</f>
        <v/>
      </c>
      <c r="M28" s="26">
        <f>IF($C28="","",AJ28)</f>
        <v/>
      </c>
      <c r="N28" s="49">
        <f>IF($C28="","",AK28)</f>
        <v/>
      </c>
      <c r="O28" s="49">
        <f>IF($C28="","",TRIM(TEXT(AM28,"# ##0"))&amp;" à "&amp;TRIM(TEXT(AN28,"# ##0"))&amp;" €")</f>
        <v/>
      </c>
      <c r="P28" s="49">
        <f>IF($C28="","",TRIM(TEXT(AP28,"# ##0"))&amp;" à "&amp;TRIM(TEXT(AQ28,"# ##0"))&amp;" €")</f>
        <v/>
      </c>
      <c r="R28" s="43">
        <f>MIN(Population_maximum,MAX(Population_minimum,ROUND($C28,0)))</f>
        <v/>
      </c>
      <c r="S28" s="44">
        <f>Prix_ancre*(R28/Population_ancre)^Exposant</f>
        <v/>
      </c>
      <c r="T28" s="45">
        <f>IF(R28&lt;=Chantiers_demi_poids_sous,Poids_chantiers/2,IF(R28&gt;=Chantiers_plein_poids_des,Poids_chantiers,Poids_chantiers*(0.5+0.5*(LN(R28)-LN(Chantiers_demi_poids_sous))/(LN(Chantiers_plein_poids_des)-LN(Chantiers_demi_poids_sous)))))</f>
        <v/>
      </c>
      <c r="U28" s="44">
        <f>IF($D28="Oui",S28*Poids_carte,0)</f>
        <v/>
      </c>
      <c r="V28" s="44">
        <f>IF($E28="Oui",S28*Poids_travaux,0)</f>
        <v/>
      </c>
      <c r="W28" s="44">
        <f>IF($F28="Oui",S28*T28,0)</f>
        <v/>
      </c>
      <c r="X28" s="44">
        <f>IF($G28="Oui",S28*Poids_participer,0)</f>
        <v/>
      </c>
      <c r="Y28" s="44">
        <f>IF($H28="Oui",S28*Poids_diagnostic,0)</f>
        <v/>
      </c>
      <c r="Z28" s="44">
        <f>SUM(U28:Y28)</f>
        <v/>
      </c>
      <c r="AA28" s="46">
        <f>COUNTIF($D28:$H28,"Oui")</f>
        <v/>
      </c>
      <c r="AB28" s="47">
        <f>MIN(0.9,MAX(0,AA28-1)*Remise_par_module_ajoute)</f>
        <v/>
      </c>
      <c r="AC28" s="44">
        <f>MAX(U28:Y28)*AB28</f>
        <v/>
      </c>
      <c r="AD28" s="44">
        <f>Z28-AC28</f>
        <v/>
      </c>
      <c r="AE28" s="47">
        <f>IFERROR(VLOOKUP($I28,Table_engagements,4,FALSE),0)</f>
        <v/>
      </c>
      <c r="AF28" s="44">
        <f>AD28*AE28</f>
        <v/>
      </c>
      <c r="AG28" s="44">
        <f>AD28-AF28</f>
        <v/>
      </c>
      <c r="AH28" s="44">
        <f>AG28*12</f>
        <v/>
      </c>
      <c r="AI28" s="44">
        <f>IF(R28&lt;Mise_en_service_offerte_sous,0,AG28*Mise_en_service_mois)</f>
        <v/>
      </c>
      <c r="AJ28" s="44">
        <f>AI28+AH28*IF(N($I28)&gt;0,$I28,1)</f>
        <v/>
      </c>
      <c r="AK28" s="48">
        <f>IF(AJ28&gt;=Seuil_3,"Procédure formalisée",IF(AJ28&gt;=Seuil_2,"Publicité obligatoire",IF(AJ28&gt;=Seuil_1,"Procédure adaptée","Sous les seuils")))</f>
        <v/>
      </c>
      <c r="AL28" s="43">
        <f>IF(AG28&lt;1000,10,IF(AG28&lt;10000,100,IF(AG28&lt;100000,1000,10000)))</f>
        <v/>
      </c>
      <c r="AM28" s="44">
        <f>FLOOR(AG28*(1-Fourchette_marge),AL28)</f>
        <v/>
      </c>
      <c r="AN28" s="44">
        <f>CEILING(AG28*(1+Fourchette_marge),AL28)</f>
        <v/>
      </c>
      <c r="AO28" s="43">
        <f>IF(AJ28&lt;1000,10,IF(AJ28&lt;10000,100,IF(AJ28&lt;100000,1000,10000)))</f>
        <v/>
      </c>
      <c r="AP28" s="44">
        <f>FLOOR(AJ28*(1-Fourchette_marge),AO28)</f>
        <v/>
      </c>
      <c r="AQ28" s="44">
        <f>CEILING(AJ28*(1+Fourchette_marge),AO28)</f>
        <v/>
      </c>
    </row>
    <row r="29">
      <c r="B29" s="5" t="n"/>
      <c r="C29" s="8" t="n"/>
      <c r="D29" s="11" t="n"/>
      <c r="E29" s="11" t="n"/>
      <c r="F29" s="11" t="n"/>
      <c r="G29" s="11" t="n"/>
      <c r="H29" s="11" t="n"/>
      <c r="I29" s="16" t="n"/>
      <c r="J29" s="26">
        <f>IF($C29="","",AG29)</f>
        <v/>
      </c>
      <c r="K29" s="22">
        <f>IF($C29="","",AH29)</f>
        <v/>
      </c>
      <c r="L29" s="22">
        <f>IF($C29="","",AI29)</f>
        <v/>
      </c>
      <c r="M29" s="26">
        <f>IF($C29="","",AJ29)</f>
        <v/>
      </c>
      <c r="N29" s="49">
        <f>IF($C29="","",AK29)</f>
        <v/>
      </c>
      <c r="O29" s="49">
        <f>IF($C29="","",TRIM(TEXT(AM29,"# ##0"))&amp;" à "&amp;TRIM(TEXT(AN29,"# ##0"))&amp;" €")</f>
        <v/>
      </c>
      <c r="P29" s="49">
        <f>IF($C29="","",TRIM(TEXT(AP29,"# ##0"))&amp;" à "&amp;TRIM(TEXT(AQ29,"# ##0"))&amp;" €")</f>
        <v/>
      </c>
      <c r="R29" s="43">
        <f>MIN(Population_maximum,MAX(Population_minimum,ROUND($C29,0)))</f>
        <v/>
      </c>
      <c r="S29" s="44">
        <f>Prix_ancre*(R29/Population_ancre)^Exposant</f>
        <v/>
      </c>
      <c r="T29" s="45">
        <f>IF(R29&lt;=Chantiers_demi_poids_sous,Poids_chantiers/2,IF(R29&gt;=Chantiers_plein_poids_des,Poids_chantiers,Poids_chantiers*(0.5+0.5*(LN(R29)-LN(Chantiers_demi_poids_sous))/(LN(Chantiers_plein_poids_des)-LN(Chantiers_demi_poids_sous)))))</f>
        <v/>
      </c>
      <c r="U29" s="44">
        <f>IF($D29="Oui",S29*Poids_carte,0)</f>
        <v/>
      </c>
      <c r="V29" s="44">
        <f>IF($E29="Oui",S29*Poids_travaux,0)</f>
        <v/>
      </c>
      <c r="W29" s="44">
        <f>IF($F29="Oui",S29*T29,0)</f>
        <v/>
      </c>
      <c r="X29" s="44">
        <f>IF($G29="Oui",S29*Poids_participer,0)</f>
        <v/>
      </c>
      <c r="Y29" s="44">
        <f>IF($H29="Oui",S29*Poids_diagnostic,0)</f>
        <v/>
      </c>
      <c r="Z29" s="44">
        <f>SUM(U29:Y29)</f>
        <v/>
      </c>
      <c r="AA29" s="46">
        <f>COUNTIF($D29:$H29,"Oui")</f>
        <v/>
      </c>
      <c r="AB29" s="47">
        <f>MIN(0.9,MAX(0,AA29-1)*Remise_par_module_ajoute)</f>
        <v/>
      </c>
      <c r="AC29" s="44">
        <f>MAX(U29:Y29)*AB29</f>
        <v/>
      </c>
      <c r="AD29" s="44">
        <f>Z29-AC29</f>
        <v/>
      </c>
      <c r="AE29" s="47">
        <f>IFERROR(VLOOKUP($I29,Table_engagements,4,FALSE),0)</f>
        <v/>
      </c>
      <c r="AF29" s="44">
        <f>AD29*AE29</f>
        <v/>
      </c>
      <c r="AG29" s="44">
        <f>AD29-AF29</f>
        <v/>
      </c>
      <c r="AH29" s="44">
        <f>AG29*12</f>
        <v/>
      </c>
      <c r="AI29" s="44">
        <f>IF(R29&lt;Mise_en_service_offerte_sous,0,AG29*Mise_en_service_mois)</f>
        <v/>
      </c>
      <c r="AJ29" s="44">
        <f>AI29+AH29*IF(N($I29)&gt;0,$I29,1)</f>
        <v/>
      </c>
      <c r="AK29" s="48">
        <f>IF(AJ29&gt;=Seuil_3,"Procédure formalisée",IF(AJ29&gt;=Seuil_2,"Publicité obligatoire",IF(AJ29&gt;=Seuil_1,"Procédure adaptée","Sous les seuils")))</f>
        <v/>
      </c>
      <c r="AL29" s="43">
        <f>IF(AG29&lt;1000,10,IF(AG29&lt;10000,100,IF(AG29&lt;100000,1000,10000)))</f>
        <v/>
      </c>
      <c r="AM29" s="44">
        <f>FLOOR(AG29*(1-Fourchette_marge),AL29)</f>
        <v/>
      </c>
      <c r="AN29" s="44">
        <f>CEILING(AG29*(1+Fourchette_marge),AL29)</f>
        <v/>
      </c>
      <c r="AO29" s="43">
        <f>IF(AJ29&lt;1000,10,IF(AJ29&lt;10000,100,IF(AJ29&lt;100000,1000,10000)))</f>
        <v/>
      </c>
      <c r="AP29" s="44">
        <f>FLOOR(AJ29*(1-Fourchette_marge),AO29)</f>
        <v/>
      </c>
      <c r="AQ29" s="44">
        <f>CEILING(AJ29*(1+Fourchette_marge),AO29)</f>
        <v/>
      </c>
    </row>
    <row r="30">
      <c r="B30" s="5" t="n"/>
      <c r="C30" s="8" t="n"/>
      <c r="D30" s="11" t="n"/>
      <c r="E30" s="11" t="n"/>
      <c r="F30" s="11" t="n"/>
      <c r="G30" s="11" t="n"/>
      <c r="H30" s="11" t="n"/>
      <c r="I30" s="16" t="n"/>
      <c r="J30" s="26">
        <f>IF($C30="","",AG30)</f>
        <v/>
      </c>
      <c r="K30" s="22">
        <f>IF($C30="","",AH30)</f>
        <v/>
      </c>
      <c r="L30" s="22">
        <f>IF($C30="","",AI30)</f>
        <v/>
      </c>
      <c r="M30" s="26">
        <f>IF($C30="","",AJ30)</f>
        <v/>
      </c>
      <c r="N30" s="49">
        <f>IF($C30="","",AK30)</f>
        <v/>
      </c>
      <c r="O30" s="49">
        <f>IF($C30="","",TRIM(TEXT(AM30,"# ##0"))&amp;" à "&amp;TRIM(TEXT(AN30,"# ##0"))&amp;" €")</f>
        <v/>
      </c>
      <c r="P30" s="49">
        <f>IF($C30="","",TRIM(TEXT(AP30,"# ##0"))&amp;" à "&amp;TRIM(TEXT(AQ30,"# ##0"))&amp;" €")</f>
        <v/>
      </c>
      <c r="R30" s="43">
        <f>MIN(Population_maximum,MAX(Population_minimum,ROUND($C30,0)))</f>
        <v/>
      </c>
      <c r="S30" s="44">
        <f>Prix_ancre*(R30/Population_ancre)^Exposant</f>
        <v/>
      </c>
      <c r="T30" s="45">
        <f>IF(R30&lt;=Chantiers_demi_poids_sous,Poids_chantiers/2,IF(R30&gt;=Chantiers_plein_poids_des,Poids_chantiers,Poids_chantiers*(0.5+0.5*(LN(R30)-LN(Chantiers_demi_poids_sous))/(LN(Chantiers_plein_poids_des)-LN(Chantiers_demi_poids_sous)))))</f>
        <v/>
      </c>
      <c r="U30" s="44">
        <f>IF($D30="Oui",S30*Poids_carte,0)</f>
        <v/>
      </c>
      <c r="V30" s="44">
        <f>IF($E30="Oui",S30*Poids_travaux,0)</f>
        <v/>
      </c>
      <c r="W30" s="44">
        <f>IF($F30="Oui",S30*T30,0)</f>
        <v/>
      </c>
      <c r="X30" s="44">
        <f>IF($G30="Oui",S30*Poids_participer,0)</f>
        <v/>
      </c>
      <c r="Y30" s="44">
        <f>IF($H30="Oui",S30*Poids_diagnostic,0)</f>
        <v/>
      </c>
      <c r="Z30" s="44">
        <f>SUM(U30:Y30)</f>
        <v/>
      </c>
      <c r="AA30" s="46">
        <f>COUNTIF($D30:$H30,"Oui")</f>
        <v/>
      </c>
      <c r="AB30" s="47">
        <f>MIN(0.9,MAX(0,AA30-1)*Remise_par_module_ajoute)</f>
        <v/>
      </c>
      <c r="AC30" s="44">
        <f>MAX(U30:Y30)*AB30</f>
        <v/>
      </c>
      <c r="AD30" s="44">
        <f>Z30-AC30</f>
        <v/>
      </c>
      <c r="AE30" s="47">
        <f>IFERROR(VLOOKUP($I30,Table_engagements,4,FALSE),0)</f>
        <v/>
      </c>
      <c r="AF30" s="44">
        <f>AD30*AE30</f>
        <v/>
      </c>
      <c r="AG30" s="44">
        <f>AD30-AF30</f>
        <v/>
      </c>
      <c r="AH30" s="44">
        <f>AG30*12</f>
        <v/>
      </c>
      <c r="AI30" s="44">
        <f>IF(R30&lt;Mise_en_service_offerte_sous,0,AG30*Mise_en_service_mois)</f>
        <v/>
      </c>
      <c r="AJ30" s="44">
        <f>AI30+AH30*IF(N($I30)&gt;0,$I30,1)</f>
        <v/>
      </c>
      <c r="AK30" s="48">
        <f>IF(AJ30&gt;=Seuil_3,"Procédure formalisée",IF(AJ30&gt;=Seuil_2,"Publicité obligatoire",IF(AJ30&gt;=Seuil_1,"Procédure adaptée","Sous les seuils")))</f>
        <v/>
      </c>
      <c r="AL30" s="43">
        <f>IF(AG30&lt;1000,10,IF(AG30&lt;10000,100,IF(AG30&lt;100000,1000,10000)))</f>
        <v/>
      </c>
      <c r="AM30" s="44">
        <f>FLOOR(AG30*(1-Fourchette_marge),AL30)</f>
        <v/>
      </c>
      <c r="AN30" s="44">
        <f>CEILING(AG30*(1+Fourchette_marge),AL30)</f>
        <v/>
      </c>
      <c r="AO30" s="43">
        <f>IF(AJ30&lt;1000,10,IF(AJ30&lt;10000,100,IF(AJ30&lt;100000,1000,10000)))</f>
        <v/>
      </c>
      <c r="AP30" s="44">
        <f>FLOOR(AJ30*(1-Fourchette_marge),AO30)</f>
        <v/>
      </c>
      <c r="AQ30" s="44">
        <f>CEILING(AJ30*(1+Fourchette_marge),AO30)</f>
        <v/>
      </c>
    </row>
  </sheetData>
  <sheetProtection selectLockedCells="0" selectUnlockedCells="0" sheet="1" objects="0" insertRows="1" insertHyperlinks="1" autoFilter="1" scenarios="0" formatColumns="0" deleteColumns="1" insertColumns="1" pivotTables="1" deleteRows="1" formatCells="1" formatRows="0" sort="1"/>
  <mergeCells count="1">
    <mergeCell ref="B3:P3"/>
  </mergeCells>
  <conditionalFormatting sqref="N6:N30">
    <cfRule type="cellIs" priority="1" operator="equal" dxfId="3">
      <formula>"Sous les seuils"</formula>
    </cfRule>
    <cfRule type="cellIs" priority="2" operator="equal" dxfId="0">
      <formula>"Procédure formalisée"</formula>
    </cfRule>
    <cfRule type="cellIs" priority="3" operator="equal" dxfId="4">
      <formula>"Publicité obligatoire"</formula>
    </cfRule>
    <cfRule type="cellIs" priority="4" operator="equal" dxfId="4">
      <formula>"Procédure adaptée"</formula>
    </cfRule>
  </conditionalFormatting>
  <dataValidations count="2">
    <dataValidation sqref="D6 D7 D8 D9 D10 D11 D12 D13 D14 D15 D16 D17 D18 D19 D20 D21 D22 D23 D24 D25 D26 D27 D28 D29 D30 E6 E7 E8 E9 E10 E11 E12 E13 E14 E15 E16 E17 E18 E19 E20 E21 E22 E23 E24 E25 E26 E27 E28 E29 E30 F6 F7 F8 F9 F10 F11 F12 F13 F14 F15 F16 F17 F18 F19 F20 F21 F22 F23 F24 F25 F26 F27 F28 F29 F30 G6 G7 G8 G9 G10 G11 G12 G13 G14 G15 G16 G17 G18 G19 G20 G21 G22 G23 G24 G25 G26 G27 G28 G29 G30 H6 H7 H8 H9 H10 H11 H12 H13 H14 H15 H16 H17 H18 H19 H20 H21 H22 H23 H24 H25 H26 H27 H28 H29 H30" showDropDown="0" showInputMessage="0" showErrorMessage="0" allowBlank="1" type="list">
      <formula1>"Oui,Non"</formula1>
    </dataValidation>
    <dataValidation sqref="I6 I7 I8 I9 I10 I11 I12 I13 I14 I15 I16 I17 I18 I19 I20 I21 I22 I23 I24 I25 I26 I27 I28 I29 I30" showDropDown="0" showInputMessage="0" showErrorMessage="0" allowBlank="1" type="list">
      <formula1>"1,2,3,4"</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24"/>
  <sheetViews>
    <sheetView workbookViewId="0">
      <selection activeCell="A1" sqref="A1"/>
    </sheetView>
  </sheetViews>
  <sheetFormatPr baseColWidth="8" defaultRowHeight="15"/>
  <cols>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s>
  <sheetData>
    <row r="1">
      <c r="A1" s="39" t="inlineStr">
        <is>
          <t>Feuille de calcul du tableau de bord. Ne rien saisir ici.</t>
        </is>
      </c>
    </row>
    <row r="3">
      <c r="A3" s="39" t="inlineStr">
        <is>
          <t>Cas</t>
        </is>
      </c>
      <c r="B3" s="39" t="inlineStr">
        <is>
          <t>Années</t>
        </is>
      </c>
      <c r="C3" s="42" t="inlineStr">
        <is>
          <t>Population retenue</t>
        </is>
      </c>
      <c r="D3" s="42" t="inlineStr">
        <is>
          <t>Prix d'une unité de poids</t>
        </is>
      </c>
      <c r="E3" s="42" t="inlineStr">
        <is>
          <t>Poids chantiers</t>
        </is>
      </c>
      <c r="F3" s="42" t="inlineStr">
        <is>
          <t>Prix Carte des projets urbains</t>
        </is>
      </c>
      <c r="G3" s="42" t="inlineStr">
        <is>
          <t>Prix Travaux du quotidien</t>
        </is>
      </c>
      <c r="H3" s="42" t="inlineStr">
        <is>
          <t>Prix Chantiers et arrêtés</t>
        </is>
      </c>
      <c r="I3" s="42" t="inlineStr">
        <is>
          <t>Prix Signalement</t>
        </is>
      </c>
      <c r="J3" s="42" t="inlineStr">
        <is>
          <t>Prix Diagnostic terrain</t>
        </is>
      </c>
      <c r="K3" s="42" t="inlineStr">
        <is>
          <t>Total avant remises</t>
        </is>
      </c>
      <c r="L3" s="42" t="inlineStr">
        <is>
          <t>Modules retenus</t>
        </is>
      </c>
      <c r="M3" s="42" t="inlineStr">
        <is>
          <t>Taux remise multi-modules</t>
        </is>
      </c>
      <c r="N3" s="42" t="inlineStr">
        <is>
          <t>Remise multi-modules</t>
        </is>
      </c>
      <c r="O3" s="42" t="inlineStr">
        <is>
          <t>Après remise multi-modules</t>
        </is>
      </c>
      <c r="P3" s="42" t="inlineStr">
        <is>
          <t>Taux engagement</t>
        </is>
      </c>
      <c r="Q3" s="42" t="inlineStr">
        <is>
          <t>Remise engagement</t>
        </is>
      </c>
      <c r="R3" s="42" t="inlineStr">
        <is>
          <t>Mensuel</t>
        </is>
      </c>
      <c r="S3" s="42" t="inlineStr">
        <is>
          <t>Annuel</t>
        </is>
      </c>
      <c r="T3" s="42" t="inlineStr">
        <is>
          <t>Mise en service</t>
        </is>
      </c>
      <c r="U3" s="42" t="inlineStr">
        <is>
          <t>Total sur la durée</t>
        </is>
      </c>
      <c r="V3" s="42" t="inlineStr">
        <is>
          <t>Seuil</t>
        </is>
      </c>
      <c r="W3" s="42" t="inlineStr">
        <is>
          <t>Pas d'arrondi (mensuel)</t>
        </is>
      </c>
      <c r="X3" s="42" t="inlineStr">
        <is>
          <t>Fourchette basse (mensuel)</t>
        </is>
      </c>
      <c r="Y3" s="42" t="inlineStr">
        <is>
          <t>Fourchette haute (mensuel)</t>
        </is>
      </c>
      <c r="Z3" s="42" t="inlineStr">
        <is>
          <t>Pas d'arrondi (total)</t>
        </is>
      </c>
      <c r="AA3" s="42" t="inlineStr">
        <is>
          <t>Fourchette basse (total)</t>
        </is>
      </c>
      <c r="AB3" s="42" t="inlineStr">
        <is>
          <t>Fourchette haute (total)</t>
        </is>
      </c>
    </row>
    <row r="4">
      <c r="A4" s="39" t="inlineStr">
        <is>
          <t>Scénario du tableau de bord</t>
        </is>
      </c>
      <c r="B4" s="39">
        <f>'Tableau de bord'!$C$13</f>
        <v/>
      </c>
      <c r="C4" s="43">
        <f>MIN(Population_maximum,MAX(Population_minimum,ROUND('Tableau de bord'!$C$7,0)))</f>
        <v/>
      </c>
      <c r="D4" s="44">
        <f>Prix_ancre*(C4/Population_ancre)^Exposant</f>
        <v/>
      </c>
      <c r="E4" s="45">
        <f>IF(C4&lt;=Chantiers_demi_poids_sous,Poids_chantiers/2,IF(C4&gt;=Chantiers_plein_poids_des,Poids_chantiers,Poids_chantiers*(0.5+0.5*(LN(C4)-LN(Chantiers_demi_poids_sous))/(LN(Chantiers_plein_poids_des)-LN(Chantiers_demi_poids_sous)))))</f>
        <v/>
      </c>
      <c r="F4" s="44">
        <f>IF('Tableau de bord'!$C$8="Oui",D4*Poids_carte,0)</f>
        <v/>
      </c>
      <c r="G4" s="44">
        <f>IF('Tableau de bord'!$C$9="Oui",D4*Poids_travaux,0)</f>
        <v/>
      </c>
      <c r="H4" s="44">
        <f>IF('Tableau de bord'!$C$10="Oui",D4*E4,0)</f>
        <v/>
      </c>
      <c r="I4" s="44">
        <f>IF('Tableau de bord'!$C$11="Oui",D4*Poids_participer,0)</f>
        <v/>
      </c>
      <c r="J4" s="44">
        <f>IF('Tableau de bord'!$C$12="Oui",D4*Poids_diagnostic,0)</f>
        <v/>
      </c>
      <c r="K4" s="44">
        <f>SUM(F4:J4)</f>
        <v/>
      </c>
      <c r="L4" s="46">
        <f>COUNTIF('Tableau de bord'!$C$8:$C$12,"Oui")</f>
        <v/>
      </c>
      <c r="M4" s="47">
        <f>MIN(0.9,MAX(0,L4-1)*Remise_par_module_ajoute)</f>
        <v/>
      </c>
      <c r="N4" s="44">
        <f>MAX(F4:J4)*M4</f>
        <v/>
      </c>
      <c r="O4" s="44">
        <f>K4-N4</f>
        <v/>
      </c>
      <c r="P4" s="47">
        <f>IFERROR(VLOOKUP('Tableau de bord'!$C$13,Table_engagements,4,FALSE),0)</f>
        <v/>
      </c>
      <c r="Q4" s="44">
        <f>O4*P4</f>
        <v/>
      </c>
      <c r="R4" s="44">
        <f>O4-Q4</f>
        <v/>
      </c>
      <c r="S4" s="44">
        <f>R4*12</f>
        <v/>
      </c>
      <c r="T4" s="44">
        <f>IF(C4&lt;Mise_en_service_offerte_sous,0,R4*Mise_en_service_mois)</f>
        <v/>
      </c>
      <c r="U4" s="44">
        <f>T4+S4*IF(N('Tableau de bord'!$C$13)&gt;0,'Tableau de bord'!$C$13,1)</f>
        <v/>
      </c>
      <c r="V4" s="48">
        <f>IF(U4&gt;=Seuil_3,"Procédure formalisée",IF(U4&gt;=Seuil_2,"Publicité obligatoire",IF(U4&gt;=Seuil_1,"Procédure adaptée","Sous les seuils")))</f>
        <v/>
      </c>
      <c r="W4" s="43">
        <f>IF(R4&lt;1000,10,IF(R4&lt;10000,100,IF(R4&lt;100000,1000,10000)))</f>
        <v/>
      </c>
      <c r="X4" s="44">
        <f>FLOOR(R4*(1-Fourchette_marge),W4)</f>
        <v/>
      </c>
      <c r="Y4" s="44">
        <f>CEILING(R4*(1+Fourchette_marge),W4)</f>
        <v/>
      </c>
      <c r="Z4" s="43">
        <f>IF(U4&lt;1000,10,IF(U4&lt;10000,100,IF(U4&lt;100000,1000,10000)))</f>
        <v/>
      </c>
      <c r="AA4" s="44">
        <f>FLOOR(U4*(1-Fourchette_marge),Z4)</f>
        <v/>
      </c>
      <c r="AB4" s="44">
        <f>CEILING(U4*(1+Fourchette_marge),Z4)</f>
        <v/>
      </c>
    </row>
    <row r="6">
      <c r="A6" s="39" t="inlineStr">
        <is>
          <t>Même scénario sur 1 an</t>
        </is>
      </c>
      <c r="B6" s="39" t="n">
        <v>1</v>
      </c>
      <c r="C6" s="43">
        <f>MIN(Population_maximum,MAX(Population_minimum,ROUND('Tableau de bord'!$C$7,0)))</f>
        <v/>
      </c>
      <c r="D6" s="44">
        <f>Prix_ancre*(C6/Population_ancre)^Exposant</f>
        <v/>
      </c>
      <c r="E6" s="45">
        <f>IF(C6&lt;=Chantiers_demi_poids_sous,Poids_chantiers/2,IF(C6&gt;=Chantiers_plein_poids_des,Poids_chantiers,Poids_chantiers*(0.5+0.5*(LN(C6)-LN(Chantiers_demi_poids_sous))/(LN(Chantiers_plein_poids_des)-LN(Chantiers_demi_poids_sous)))))</f>
        <v/>
      </c>
      <c r="F6" s="44">
        <f>IF('Tableau de bord'!$C$8="Oui",D6*Poids_carte,0)</f>
        <v/>
      </c>
      <c r="G6" s="44">
        <f>IF('Tableau de bord'!$C$9="Oui",D6*Poids_travaux,0)</f>
        <v/>
      </c>
      <c r="H6" s="44">
        <f>IF('Tableau de bord'!$C$10="Oui",D6*E6,0)</f>
        <v/>
      </c>
      <c r="I6" s="44">
        <f>IF('Tableau de bord'!$C$11="Oui",D6*Poids_participer,0)</f>
        <v/>
      </c>
      <c r="J6" s="44">
        <f>IF('Tableau de bord'!$C$12="Oui",D6*Poids_diagnostic,0)</f>
        <v/>
      </c>
      <c r="K6" s="44">
        <f>SUM(F6:J6)</f>
        <v/>
      </c>
      <c r="L6" s="46">
        <f>COUNTIF('Tableau de bord'!$C$8:$C$12,"Oui")</f>
        <v/>
      </c>
      <c r="M6" s="47">
        <f>MIN(0.9,MAX(0,L6-1)*Remise_par_module_ajoute)</f>
        <v/>
      </c>
      <c r="N6" s="44">
        <f>MAX(F6:J6)*M6</f>
        <v/>
      </c>
      <c r="O6" s="44">
        <f>K6-N6</f>
        <v/>
      </c>
      <c r="P6" s="47">
        <f>IFERROR(VLOOKUP($B$6,Table_engagements,4,FALSE),0)</f>
        <v/>
      </c>
      <c r="Q6" s="44">
        <f>O6*P6</f>
        <v/>
      </c>
      <c r="R6" s="44">
        <f>O6-Q6</f>
        <v/>
      </c>
      <c r="S6" s="44">
        <f>R6*12</f>
        <v/>
      </c>
      <c r="T6" s="44">
        <f>IF(C6&lt;Mise_en_service_offerte_sous,0,R6*Mise_en_service_mois)</f>
        <v/>
      </c>
      <c r="U6" s="44">
        <f>T6+S6*IF(N($B$6)&gt;0,$B$6,1)</f>
        <v/>
      </c>
      <c r="V6" s="48">
        <f>IF(U6&gt;=Seuil_3,"Procédure formalisée",IF(U6&gt;=Seuil_2,"Publicité obligatoire",IF(U6&gt;=Seuil_1,"Procédure adaptée","Sous les seuils")))</f>
        <v/>
      </c>
      <c r="W6" s="43">
        <f>IF(R6&lt;1000,10,IF(R6&lt;10000,100,IF(R6&lt;100000,1000,10000)))</f>
        <v/>
      </c>
      <c r="X6" s="44">
        <f>FLOOR(R6*(1-Fourchette_marge),W6)</f>
        <v/>
      </c>
      <c r="Y6" s="44">
        <f>CEILING(R6*(1+Fourchette_marge),W6)</f>
        <v/>
      </c>
      <c r="Z6" s="43">
        <f>IF(U6&lt;1000,10,IF(U6&lt;10000,100,IF(U6&lt;100000,1000,10000)))</f>
        <v/>
      </c>
      <c r="AA6" s="44">
        <f>FLOOR(U6*(1-Fourchette_marge),Z6)</f>
        <v/>
      </c>
      <c r="AB6" s="44">
        <f>CEILING(U6*(1+Fourchette_marge),Z6)</f>
        <v/>
      </c>
    </row>
    <row r="7">
      <c r="A7" s="39" t="inlineStr">
        <is>
          <t>Même scénario sur 2 ans</t>
        </is>
      </c>
      <c r="B7" s="39" t="n">
        <v>2</v>
      </c>
      <c r="C7" s="43">
        <f>MIN(Population_maximum,MAX(Population_minimum,ROUND('Tableau de bord'!$C$7,0)))</f>
        <v/>
      </c>
      <c r="D7" s="44">
        <f>Prix_ancre*(C7/Population_ancre)^Exposant</f>
        <v/>
      </c>
      <c r="E7" s="45">
        <f>IF(C7&lt;=Chantiers_demi_poids_sous,Poids_chantiers/2,IF(C7&gt;=Chantiers_plein_poids_des,Poids_chantiers,Poids_chantiers*(0.5+0.5*(LN(C7)-LN(Chantiers_demi_poids_sous))/(LN(Chantiers_plein_poids_des)-LN(Chantiers_demi_poids_sous)))))</f>
        <v/>
      </c>
      <c r="F7" s="44">
        <f>IF('Tableau de bord'!$C$8="Oui",D7*Poids_carte,0)</f>
        <v/>
      </c>
      <c r="G7" s="44">
        <f>IF('Tableau de bord'!$C$9="Oui",D7*Poids_travaux,0)</f>
        <v/>
      </c>
      <c r="H7" s="44">
        <f>IF('Tableau de bord'!$C$10="Oui",D7*E7,0)</f>
        <v/>
      </c>
      <c r="I7" s="44">
        <f>IF('Tableau de bord'!$C$11="Oui",D7*Poids_participer,0)</f>
        <v/>
      </c>
      <c r="J7" s="44">
        <f>IF('Tableau de bord'!$C$12="Oui",D7*Poids_diagnostic,0)</f>
        <v/>
      </c>
      <c r="K7" s="44">
        <f>SUM(F7:J7)</f>
        <v/>
      </c>
      <c r="L7" s="46">
        <f>COUNTIF('Tableau de bord'!$C$8:$C$12,"Oui")</f>
        <v/>
      </c>
      <c r="M7" s="47">
        <f>MIN(0.9,MAX(0,L7-1)*Remise_par_module_ajoute)</f>
        <v/>
      </c>
      <c r="N7" s="44">
        <f>MAX(F7:J7)*M7</f>
        <v/>
      </c>
      <c r="O7" s="44">
        <f>K7-N7</f>
        <v/>
      </c>
      <c r="P7" s="47">
        <f>IFERROR(VLOOKUP($B$7,Table_engagements,4,FALSE),0)</f>
        <v/>
      </c>
      <c r="Q7" s="44">
        <f>O7*P7</f>
        <v/>
      </c>
      <c r="R7" s="44">
        <f>O7-Q7</f>
        <v/>
      </c>
      <c r="S7" s="44">
        <f>R7*12</f>
        <v/>
      </c>
      <c r="T7" s="44">
        <f>IF(C7&lt;Mise_en_service_offerte_sous,0,R7*Mise_en_service_mois)</f>
        <v/>
      </c>
      <c r="U7" s="44">
        <f>T7+S7*IF(N($B$7)&gt;0,$B$7,1)</f>
        <v/>
      </c>
      <c r="V7" s="48">
        <f>IF(U7&gt;=Seuil_3,"Procédure formalisée",IF(U7&gt;=Seuil_2,"Publicité obligatoire",IF(U7&gt;=Seuil_1,"Procédure adaptée","Sous les seuils")))</f>
        <v/>
      </c>
      <c r="W7" s="43">
        <f>IF(R7&lt;1000,10,IF(R7&lt;10000,100,IF(R7&lt;100000,1000,10000)))</f>
        <v/>
      </c>
      <c r="X7" s="44">
        <f>FLOOR(R7*(1-Fourchette_marge),W7)</f>
        <v/>
      </c>
      <c r="Y7" s="44">
        <f>CEILING(R7*(1+Fourchette_marge),W7)</f>
        <v/>
      </c>
      <c r="Z7" s="43">
        <f>IF(U7&lt;1000,10,IF(U7&lt;10000,100,IF(U7&lt;100000,1000,10000)))</f>
        <v/>
      </c>
      <c r="AA7" s="44">
        <f>FLOOR(U7*(1-Fourchette_marge),Z7)</f>
        <v/>
      </c>
      <c r="AB7" s="44">
        <f>CEILING(U7*(1+Fourchette_marge),Z7)</f>
        <v/>
      </c>
    </row>
    <row r="8">
      <c r="A8" s="39" t="inlineStr">
        <is>
          <t>Même scénario sur 3 ans</t>
        </is>
      </c>
      <c r="B8" s="39" t="n">
        <v>3</v>
      </c>
      <c r="C8" s="43">
        <f>MIN(Population_maximum,MAX(Population_minimum,ROUND('Tableau de bord'!$C$7,0)))</f>
        <v/>
      </c>
      <c r="D8" s="44">
        <f>Prix_ancre*(C8/Population_ancre)^Exposant</f>
        <v/>
      </c>
      <c r="E8" s="45">
        <f>IF(C8&lt;=Chantiers_demi_poids_sous,Poids_chantiers/2,IF(C8&gt;=Chantiers_plein_poids_des,Poids_chantiers,Poids_chantiers*(0.5+0.5*(LN(C8)-LN(Chantiers_demi_poids_sous))/(LN(Chantiers_plein_poids_des)-LN(Chantiers_demi_poids_sous)))))</f>
        <v/>
      </c>
      <c r="F8" s="44">
        <f>IF('Tableau de bord'!$C$8="Oui",D8*Poids_carte,0)</f>
        <v/>
      </c>
      <c r="G8" s="44">
        <f>IF('Tableau de bord'!$C$9="Oui",D8*Poids_travaux,0)</f>
        <v/>
      </c>
      <c r="H8" s="44">
        <f>IF('Tableau de bord'!$C$10="Oui",D8*E8,0)</f>
        <v/>
      </c>
      <c r="I8" s="44">
        <f>IF('Tableau de bord'!$C$11="Oui",D8*Poids_participer,0)</f>
        <v/>
      </c>
      <c r="J8" s="44">
        <f>IF('Tableau de bord'!$C$12="Oui",D8*Poids_diagnostic,0)</f>
        <v/>
      </c>
      <c r="K8" s="44">
        <f>SUM(F8:J8)</f>
        <v/>
      </c>
      <c r="L8" s="46">
        <f>COUNTIF('Tableau de bord'!$C$8:$C$12,"Oui")</f>
        <v/>
      </c>
      <c r="M8" s="47">
        <f>MIN(0.9,MAX(0,L8-1)*Remise_par_module_ajoute)</f>
        <v/>
      </c>
      <c r="N8" s="44">
        <f>MAX(F8:J8)*M8</f>
        <v/>
      </c>
      <c r="O8" s="44">
        <f>K8-N8</f>
        <v/>
      </c>
      <c r="P8" s="47">
        <f>IFERROR(VLOOKUP($B$8,Table_engagements,4,FALSE),0)</f>
        <v/>
      </c>
      <c r="Q8" s="44">
        <f>O8*P8</f>
        <v/>
      </c>
      <c r="R8" s="44">
        <f>O8-Q8</f>
        <v/>
      </c>
      <c r="S8" s="44">
        <f>R8*12</f>
        <v/>
      </c>
      <c r="T8" s="44">
        <f>IF(C8&lt;Mise_en_service_offerte_sous,0,R8*Mise_en_service_mois)</f>
        <v/>
      </c>
      <c r="U8" s="44">
        <f>T8+S8*IF(N($B$8)&gt;0,$B$8,1)</f>
        <v/>
      </c>
      <c r="V8" s="48">
        <f>IF(U8&gt;=Seuil_3,"Procédure formalisée",IF(U8&gt;=Seuil_2,"Publicité obligatoire",IF(U8&gt;=Seuil_1,"Procédure adaptée","Sous les seuils")))</f>
        <v/>
      </c>
      <c r="W8" s="43">
        <f>IF(R8&lt;1000,10,IF(R8&lt;10000,100,IF(R8&lt;100000,1000,10000)))</f>
        <v/>
      </c>
      <c r="X8" s="44">
        <f>FLOOR(R8*(1-Fourchette_marge),W8)</f>
        <v/>
      </c>
      <c r="Y8" s="44">
        <f>CEILING(R8*(1+Fourchette_marge),W8)</f>
        <v/>
      </c>
      <c r="Z8" s="43">
        <f>IF(U8&lt;1000,10,IF(U8&lt;10000,100,IF(U8&lt;100000,1000,10000)))</f>
        <v/>
      </c>
      <c r="AA8" s="44">
        <f>FLOOR(U8*(1-Fourchette_marge),Z8)</f>
        <v/>
      </c>
      <c r="AB8" s="44">
        <f>CEILING(U8*(1+Fourchette_marge),Z8)</f>
        <v/>
      </c>
    </row>
    <row r="9">
      <c r="A9" s="39" t="inlineStr">
        <is>
          <t>Même scénario sur 4 ans</t>
        </is>
      </c>
      <c r="B9" s="39" t="n">
        <v>4</v>
      </c>
      <c r="C9" s="43">
        <f>MIN(Population_maximum,MAX(Population_minimum,ROUND('Tableau de bord'!$C$7,0)))</f>
        <v/>
      </c>
      <c r="D9" s="44">
        <f>Prix_ancre*(C9/Population_ancre)^Exposant</f>
        <v/>
      </c>
      <c r="E9" s="45">
        <f>IF(C9&lt;=Chantiers_demi_poids_sous,Poids_chantiers/2,IF(C9&gt;=Chantiers_plein_poids_des,Poids_chantiers,Poids_chantiers*(0.5+0.5*(LN(C9)-LN(Chantiers_demi_poids_sous))/(LN(Chantiers_plein_poids_des)-LN(Chantiers_demi_poids_sous)))))</f>
        <v/>
      </c>
      <c r="F9" s="44">
        <f>IF('Tableau de bord'!$C$8="Oui",D9*Poids_carte,0)</f>
        <v/>
      </c>
      <c r="G9" s="44">
        <f>IF('Tableau de bord'!$C$9="Oui",D9*Poids_travaux,0)</f>
        <v/>
      </c>
      <c r="H9" s="44">
        <f>IF('Tableau de bord'!$C$10="Oui",D9*E9,0)</f>
        <v/>
      </c>
      <c r="I9" s="44">
        <f>IF('Tableau de bord'!$C$11="Oui",D9*Poids_participer,0)</f>
        <v/>
      </c>
      <c r="J9" s="44">
        <f>IF('Tableau de bord'!$C$12="Oui",D9*Poids_diagnostic,0)</f>
        <v/>
      </c>
      <c r="K9" s="44">
        <f>SUM(F9:J9)</f>
        <v/>
      </c>
      <c r="L9" s="46">
        <f>COUNTIF('Tableau de bord'!$C$8:$C$12,"Oui")</f>
        <v/>
      </c>
      <c r="M9" s="47">
        <f>MIN(0.9,MAX(0,L9-1)*Remise_par_module_ajoute)</f>
        <v/>
      </c>
      <c r="N9" s="44">
        <f>MAX(F9:J9)*M9</f>
        <v/>
      </c>
      <c r="O9" s="44">
        <f>K9-N9</f>
        <v/>
      </c>
      <c r="P9" s="47">
        <f>IFERROR(VLOOKUP($B$9,Table_engagements,4,FALSE),0)</f>
        <v/>
      </c>
      <c r="Q9" s="44">
        <f>O9*P9</f>
        <v/>
      </c>
      <c r="R9" s="44">
        <f>O9-Q9</f>
        <v/>
      </c>
      <c r="S9" s="44">
        <f>R9*12</f>
        <v/>
      </c>
      <c r="T9" s="44">
        <f>IF(C9&lt;Mise_en_service_offerte_sous,0,R9*Mise_en_service_mois)</f>
        <v/>
      </c>
      <c r="U9" s="44">
        <f>T9+S9*IF(N($B$9)&gt;0,$B$9,1)</f>
        <v/>
      </c>
      <c r="V9" s="48">
        <f>IF(U9&gt;=Seuil_3,"Procédure formalisée",IF(U9&gt;=Seuil_2,"Publicité obligatoire",IF(U9&gt;=Seuil_1,"Procédure adaptée","Sous les seuils")))</f>
        <v/>
      </c>
      <c r="W9" s="43">
        <f>IF(R9&lt;1000,10,IF(R9&lt;10000,100,IF(R9&lt;100000,1000,10000)))</f>
        <v/>
      </c>
      <c r="X9" s="44">
        <f>FLOOR(R9*(1-Fourchette_marge),W9)</f>
        <v/>
      </c>
      <c r="Y9" s="44">
        <f>CEILING(R9*(1+Fourchette_marge),W9)</f>
        <v/>
      </c>
      <c r="Z9" s="43">
        <f>IF(U9&lt;1000,10,IF(U9&lt;10000,100,IF(U9&lt;100000,1000,10000)))</f>
        <v/>
      </c>
      <c r="AA9" s="44">
        <f>FLOOR(U9*(1-Fourchette_marge),Z9)</f>
        <v/>
      </c>
      <c r="AB9" s="44">
        <f>CEILING(U9*(1+Fourchette_marge),Z9)</f>
        <v/>
      </c>
    </row>
    <row r="12">
      <c r="A12" s="39" t="inlineStr">
        <is>
          <t>Durée</t>
        </is>
      </c>
      <c r="B12" s="39" t="inlineStr">
        <is>
          <t>Abonnement mensuel</t>
        </is>
      </c>
      <c r="C12" s="39" t="inlineStr">
        <is>
          <t>Total sur la durée</t>
        </is>
      </c>
    </row>
    <row r="13">
      <c r="A13" t="inlineStr">
        <is>
          <t>1 an</t>
        </is>
      </c>
      <c r="B13" s="50">
        <f>R6</f>
        <v/>
      </c>
      <c r="C13" s="50">
        <f>U6</f>
        <v/>
      </c>
    </row>
    <row r="14">
      <c r="A14" t="inlineStr">
        <is>
          <t>2 ans</t>
        </is>
      </c>
      <c r="B14" s="50">
        <f>R7</f>
        <v/>
      </c>
      <c r="C14" s="50">
        <f>U7</f>
        <v/>
      </c>
    </row>
    <row r="15">
      <c r="A15" t="inlineStr">
        <is>
          <t>3 ans</t>
        </is>
      </c>
      <c r="B15" s="50">
        <f>R8</f>
        <v/>
      </c>
      <c r="C15" s="50">
        <f>U8</f>
        <v/>
      </c>
    </row>
    <row r="16">
      <c r="A16" t="inlineStr">
        <is>
          <t>4 ans</t>
        </is>
      </c>
      <c r="B16" s="50">
        <f>R9</f>
        <v/>
      </c>
      <c r="C16" s="50">
        <f>U9</f>
        <v/>
      </c>
    </row>
    <row r="19">
      <c r="A19" s="39" t="inlineStr">
        <is>
          <t>Module</t>
        </is>
      </c>
      <c r="B19" s="39" t="inlineStr">
        <is>
          <t>Prix mensuel dans ce scénario</t>
        </is>
      </c>
    </row>
    <row r="20">
      <c r="A20" t="inlineStr">
        <is>
          <t>Carte des projets urbains</t>
        </is>
      </c>
      <c r="B20" s="50">
        <f>IF(F4=0,0,IF(AND(M4&gt;0,F4=MAX(F4:J4)),F4*(1-M4),F4))</f>
        <v/>
      </c>
    </row>
    <row r="21">
      <c r="A21" t="inlineStr">
        <is>
          <t>Travaux du quotidien</t>
        </is>
      </c>
      <c r="B21" s="50">
        <f>IF(G4=0,0,IF(AND(M4&gt;0,G4=MAX(F4:J4)),G4*(1-M4),G4))</f>
        <v/>
      </c>
    </row>
    <row r="22">
      <c r="A22" t="inlineStr">
        <is>
          <t>Chantiers et arrêtés</t>
        </is>
      </c>
      <c r="B22" s="50">
        <f>IF(H4=0,0,IF(AND(M4&gt;0,H4=MAX(F4:J4)),H4*(1-M4),H4))</f>
        <v/>
      </c>
    </row>
    <row r="23">
      <c r="A23" t="inlineStr">
        <is>
          <t>Signalement</t>
        </is>
      </c>
      <c r="B23" s="50">
        <f>IF(I4=0,0,IF(AND(M4&gt;0,I4=MAX(F4:J4)),I4*(1-M4),I4))</f>
        <v/>
      </c>
    </row>
    <row r="24">
      <c r="A24" t="inlineStr">
        <is>
          <t>Diagnostic terrain</t>
        </is>
      </c>
      <c r="B24" s="50">
        <f>IF(J4=0,0,IF(AND(M4&gt;0,J4=MAX(F4:J4)),J4*(1-M4),J4))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2026-09-10T13:45:08Z</dcterms:created>
  <dcterms:modified xmlns:dcterms="http://purl.org/dc/terms/" xmlns:xsi="http://www.w3.org/2001/XMLSchema-instance" xsi:type="dcterms:W3CDTF">2026-09-10T13:45:08Z</dcterms:modified>
</cp:coreProperties>
</file>