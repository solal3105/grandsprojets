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isez-moi" sheetId="1" state="visible" r:id="rId1"/>
    <sheet xmlns:r="http://schemas.openxmlformats.org/officeDocument/2006/relationships" name="Réglages" sheetId="2" state="visible" r:id="rId2"/>
    <sheet xmlns:r="http://schemas.openxmlformats.org/officeDocument/2006/relationships" name="Simulateur" sheetId="3" state="visible" r:id="rId3"/>
    <sheet xmlns:r="http://schemas.openxmlformats.org/officeDocument/2006/relationships" name="Grille" sheetId="4" state="visible" r:id="rId4"/>
    <sheet xmlns:r="http://schemas.openxmlformats.org/officeDocument/2006/relationships" name="Scénarios" sheetId="5" state="visible" r:id="rId5"/>
  </sheets>
  <definedNames>
    <definedName name="Site_Population_ancre">'Réglages'!$C$7</definedName>
    <definedName name="Population_ancre">'Réglages'!$D$7</definedName>
    <definedName name="Site_Prix_ancre">'Réglages'!$C$8</definedName>
    <definedName name="Prix_ancre">'Réglages'!$D$8</definedName>
    <definedName name="Site_Exposant">'Réglages'!$C$9</definedName>
    <definedName name="Exposant">'Réglages'!$D$9</definedName>
    <definedName name="Site_Population_minimum">'Réglages'!$C$10</definedName>
    <definedName name="Population_minimum">'Réglages'!$D$10</definedName>
    <definedName name="Site_Population_maximum">'Réglages'!$C$11</definedName>
    <definedName name="Population_maximum">'Réglages'!$D$11</definedName>
    <definedName name="Site_Poids_carte">'Réglages'!$C$15</definedName>
    <definedName name="Poids_carte">'Réglages'!$D$15</definedName>
    <definedName name="Site_Poids_travaux">'Réglages'!$C$16</definedName>
    <definedName name="Poids_travaux">'Réglages'!$D$16</definedName>
    <definedName name="Site_Poids_participer">'Réglages'!$C$17</definedName>
    <definedName name="Poids_participer">'Réglages'!$D$17</definedName>
    <definedName name="Site_Poids_diagnostic">'Réglages'!$C$18</definedName>
    <definedName name="Poids_diagnostic">'Réglages'!$D$18</definedName>
    <definedName name="Site_Poids_chantiers">'Réglages'!$C$19</definedName>
    <definedName name="Poids_chantiers">'Réglages'!$D$19</definedName>
    <definedName name="Site_Chantiers_demi_poids_sous">'Réglages'!$C$23</definedName>
    <definedName name="Chantiers_demi_poids_sous">'Réglages'!$D$23</definedName>
    <definedName name="Site_Chantiers_plein_poids_des">'Réglages'!$C$24</definedName>
    <definedName name="Chantiers_plein_poids_des">'Réglages'!$D$24</definedName>
    <definedName name="Site_Remise_par_module_ajoute">'Réglages'!$C$28</definedName>
    <definedName name="Remise_par_module_ajoute">'Réglages'!$D$28</definedName>
    <definedName name="Site_Remise_engagement_1_ans">'Réglages'!$C$32</definedName>
    <definedName name="Remise_engagement_1_ans">'Réglages'!$D$32</definedName>
    <definedName name="Site_Remise_engagement_2_ans">'Réglages'!$C$33</definedName>
    <definedName name="Remise_engagement_2_ans">'Réglages'!$D$33</definedName>
    <definedName name="Site_Remise_engagement_3_ans">'Réglages'!$C$34</definedName>
    <definedName name="Remise_engagement_3_ans">'Réglages'!$D$34</definedName>
    <definedName name="Site_Remise_engagement_4_ans">'Réglages'!$C$35</definedName>
    <definedName name="Remise_engagement_4_ans">'Réglages'!$D$35</definedName>
    <definedName name="Table_engagements">'Réglages'!$B$32:$D$35</definedName>
    <definedName name="Site_Mise_en_service_mois">'Réglages'!$C$39</definedName>
    <definedName name="Mise_en_service_mois">'Réglages'!$D$39</definedName>
    <definedName name="Site_Mise_en_service_offerte_sous">'Réglages'!$C$40</definedName>
    <definedName name="Mise_en_service_offerte_sous">'Réglages'!$D$40</definedName>
    <definedName name="Site_Seuil_1">'Réglages'!$C$44</definedName>
    <definedName name="Seuil_1">'Réglages'!$D$44</definedName>
    <definedName name="Site_Seuil_2">'Réglages'!$C$45</definedName>
    <definedName name="Seuil_2">'Réglages'!$D$45</definedName>
    <definedName name="Site_Seuil_3">'Réglages'!$C$46</definedName>
    <definedName name="Seuil_3">'Réglages'!$D$46</definedName>
  </definedNames>
  <calcPr calcId="124519" fullCalcOnLoad="1"/>
</workbook>
</file>

<file path=xl/styles.xml><?xml version="1.0" encoding="utf-8"?>
<styleSheet xmlns="http://schemas.openxmlformats.org/spreadsheetml/2006/main">
  <numFmts count="6">
    <numFmt numFmtId="164" formatCode="#,##0&quot; €&quot;"/>
    <numFmt numFmtId="165" formatCode="DD/MM/YYYY"/>
    <numFmt numFmtId="166" formatCode="+#,##0&quot; €&quot;;-#,##0&quot; €&quot;;0&quot; €&quot;"/>
    <numFmt numFmtId="167" formatCode="+0.00;-0.00;0"/>
    <numFmt numFmtId="168" formatCode="+0;-0;0"/>
    <numFmt numFmtId="169" formatCode="+0%;-0%;0%"/>
  </numFmts>
  <fonts count="7">
    <font>
      <name val="Calibri"/>
      <family val="2"/>
      <color theme="1"/>
      <sz val="11"/>
      <scheme val="minor"/>
    </font>
    <font>
      <name val="Calibri"/>
      <b val="1"/>
      <color rgb="001F2937"/>
      <sz val="16"/>
    </font>
    <font>
      <name val="Calibri"/>
      <sz val="11"/>
    </font>
    <font>
      <name val="Calibri"/>
      <b val="1"/>
      <color rgb="001F2937"/>
      <sz val="11"/>
    </font>
    <font>
      <name val="Calibri"/>
      <i val="1"/>
      <color rgb="006B7280"/>
      <sz val="10"/>
    </font>
    <font>
      <name val="Calibri"/>
      <b val="1"/>
      <color rgb="00FFFFFF"/>
      <sz val="11"/>
    </font>
    <font>
      <name val="Calibri"/>
      <b val="1"/>
      <sz val="11"/>
    </font>
  </fonts>
  <fills count="7">
    <fill>
      <patternFill/>
    </fill>
    <fill>
      <patternFill patternType="gray125"/>
    </fill>
    <fill>
      <patternFill patternType="solid">
        <fgColor rgb="00FFF2CC"/>
      </patternFill>
    </fill>
    <fill>
      <patternFill patternType="solid">
        <fgColor rgb="00EDEDED"/>
      </patternFill>
    </fill>
    <fill>
      <patternFill patternType="solid">
        <fgColor rgb="00F0FDF4"/>
      </patternFill>
    </fill>
    <fill>
      <patternFill patternType="solid">
        <fgColor rgb="001F2937"/>
      </patternFill>
    </fill>
    <fill>
      <patternFill patternType="solid">
        <fgColor rgb="00E5E7EB"/>
      </patternFill>
    </fill>
  </fills>
  <borders count="11">
    <border>
      <left/>
      <right/>
      <top/>
      <bottom/>
      <diagonal/>
    </border>
    <border>
      <left style="thin">
        <color rgb="00D1D5DB"/>
      </left>
      <right style="thin">
        <color rgb="00D1D5DB"/>
      </right>
      <top style="thin">
        <color rgb="00D1D5DB"/>
      </top>
      <bottom style="thin">
        <color rgb="00D1D5DB"/>
      </bottom>
    </border>
    <border>
      <left/>
      <right/>
      <top style="thin">
        <color rgb="00D1D5DB"/>
      </top>
      <bottom/>
      <diagonal/>
    </border>
    <border>
      <left/>
      <right style="thin">
        <color rgb="00D1D5DB"/>
      </right>
      <top style="thin">
        <color rgb="00D1D5DB"/>
      </top>
      <bottom/>
      <diagonal/>
    </border>
    <border>
      <left/>
      <right/>
      <top style="thin">
        <color rgb="00D1D5DB"/>
      </top>
      <bottom style="thin">
        <color rgb="00D1D5DB"/>
      </bottom>
      <diagonal/>
    </border>
    <border>
      <left/>
      <right style="thin">
        <color rgb="00D1D5DB"/>
      </right>
      <top style="thin">
        <color rgb="00D1D5DB"/>
      </top>
      <bottom style="thin">
        <color rgb="00D1D5DB"/>
      </bottom>
      <diagonal/>
    </border>
    <border>
      <left style="thin">
        <color rgb="00D1D5DB"/>
      </left>
      <right/>
      <top/>
      <bottom/>
      <diagonal/>
    </border>
    <border>
      <left/>
      <right style="thin">
        <color rgb="00D1D5DB"/>
      </right>
      <top/>
      <bottom/>
      <diagonal/>
    </border>
    <border>
      <left style="thin">
        <color rgb="00D1D5DB"/>
      </left>
      <right/>
      <top/>
      <bottom style="thin">
        <color rgb="00D1D5DB"/>
      </bottom>
      <diagonal/>
    </border>
    <border>
      <left/>
      <right/>
      <top/>
      <bottom style="thin">
        <color rgb="00D1D5DB"/>
      </bottom>
      <diagonal/>
    </border>
    <border>
      <left/>
      <right style="thin">
        <color rgb="00D1D5DB"/>
      </right>
      <top/>
      <bottom style="thin">
        <color rgb="00D1D5DB"/>
      </bottom>
      <diagonal/>
    </border>
  </borders>
  <cellStyleXfs count="1">
    <xf numFmtId="0" fontId="0" fillId="0" borderId="0"/>
  </cellStyleXfs>
  <cellXfs count="68">
    <xf numFmtId="0" fontId="0" fillId="0" borderId="0" pivotButton="0" quotePrefix="0" xfId="0"/>
    <xf numFmtId="0" fontId="1" fillId="0" borderId="0" pivotButton="0" quotePrefix="0" xfId="0"/>
    <xf numFmtId="0" fontId="2" fillId="0" borderId="0" applyAlignment="1" pivotButton="0" quotePrefix="0" xfId="0">
      <alignment horizontal="left" vertical="top" wrapText="1"/>
    </xf>
    <xf numFmtId="0" fontId="3" fillId="0" borderId="0" pivotButton="0" quotePrefix="0" xfId="0"/>
    <xf numFmtId="0" fontId="2" fillId="2" borderId="0" pivotButton="0" quotePrefix="0" xfId="0"/>
    <xf numFmtId="0" fontId="2" fillId="3" borderId="0" pivotButton="0" quotePrefix="0" xfId="0"/>
    <xf numFmtId="0" fontId="2" fillId="4" borderId="0" pivotButton="0" quotePrefix="0" xfId="0"/>
    <xf numFmtId="0" fontId="4" fillId="0" borderId="0" applyAlignment="1" pivotButton="0" quotePrefix="0" xfId="0">
      <alignment horizontal="left" vertical="center" wrapText="1"/>
    </xf>
    <xf numFmtId="0" fontId="5" fillId="5" borderId="1" applyAlignment="1" pivotButton="0" quotePrefix="0" xfId="0">
      <alignment horizontal="center" vertical="center" wrapText="1"/>
    </xf>
    <xf numFmtId="0" fontId="3" fillId="6" borderId="0" pivotButton="0" quotePrefix="0" xfId="0"/>
    <xf numFmtId="0" fontId="0" fillId="6" borderId="0" pivotButton="0" quotePrefix="0" xfId="0"/>
    <xf numFmtId="0" fontId="2" fillId="0" borderId="1" applyAlignment="1" pivotButton="0" quotePrefix="0" xfId="0">
      <alignment horizontal="left" vertical="center" wrapText="1"/>
    </xf>
    <xf numFmtId="0" fontId="2" fillId="0" borderId="1" applyAlignment="1" pivotButton="0" quotePrefix="0" xfId="0">
      <alignment horizontal="center" vertical="center" wrapText="1"/>
    </xf>
    <xf numFmtId="3" fontId="2" fillId="3" borderId="1" applyAlignment="1" pivotButton="0" quotePrefix="0" xfId="0">
      <alignment horizontal="right" vertical="center"/>
    </xf>
    <xf numFmtId="3" fontId="2" fillId="2" borderId="1" applyAlignment="1" applyProtection="1" pivotButton="0" quotePrefix="0" xfId="0">
      <alignment horizontal="right" vertical="center"/>
      <protection locked="0" hidden="0"/>
    </xf>
    <xf numFmtId="0" fontId="2" fillId="2" borderId="1" applyAlignment="1" applyProtection="1" pivotButton="0" quotePrefix="0" xfId="0">
      <alignment horizontal="left" vertical="center" wrapText="1"/>
      <protection locked="0" hidden="0"/>
    </xf>
    <xf numFmtId="164" fontId="2" fillId="3" borderId="1" applyAlignment="1" pivotButton="0" quotePrefix="0" xfId="0">
      <alignment horizontal="right" vertical="center"/>
    </xf>
    <xf numFmtId="164" fontId="2" fillId="2" borderId="1" applyAlignment="1" applyProtection="1" pivotButton="0" quotePrefix="0" xfId="0">
      <alignment horizontal="right" vertical="center"/>
      <protection locked="0" hidden="0"/>
    </xf>
    <xf numFmtId="0" fontId="2" fillId="0" borderId="1" pivotButton="0" quotePrefix="0" xfId="0"/>
    <xf numFmtId="2" fontId="2" fillId="3" borderId="1" applyAlignment="1" pivotButton="0" quotePrefix="0" xfId="0">
      <alignment horizontal="right" vertical="center"/>
    </xf>
    <xf numFmtId="2" fontId="2" fillId="2" borderId="1" applyAlignment="1" applyProtection="1" pivotButton="0" quotePrefix="0" xfId="0">
      <alignment horizontal="right" vertical="center"/>
      <protection locked="0" hidden="0"/>
    </xf>
    <xf numFmtId="9" fontId="2" fillId="3" borderId="1" applyAlignment="1" pivotButton="0" quotePrefix="0" xfId="0">
      <alignment horizontal="right" vertical="center"/>
    </xf>
    <xf numFmtId="9" fontId="2" fillId="2" borderId="1" applyAlignment="1" applyProtection="1" pivotButton="0" quotePrefix="0" xfId="0">
      <alignment horizontal="right" vertical="center"/>
      <protection locked="0" hidden="0"/>
    </xf>
    <xf numFmtId="1" fontId="2" fillId="0" borderId="1" applyAlignment="1" pivotButton="0" quotePrefix="0" xfId="0">
      <alignment horizontal="center" vertical="center" wrapText="1"/>
    </xf>
    <xf numFmtId="1" fontId="2" fillId="3" borderId="1" applyAlignment="1" pivotButton="0" quotePrefix="0" xfId="0">
      <alignment horizontal="right" vertical="center"/>
    </xf>
    <xf numFmtId="1" fontId="2" fillId="2" borderId="1" applyAlignment="1" applyProtection="1" pivotButton="0" quotePrefix="0" xfId="0">
      <alignment horizontal="right" vertical="center"/>
      <protection locked="0" hidden="0"/>
    </xf>
    <xf numFmtId="0" fontId="2" fillId="2" borderId="1" applyProtection="1" pivotButton="0" quotePrefix="0" xfId="0">
      <protection locked="0" hidden="0"/>
    </xf>
    <xf numFmtId="0" fontId="0" fillId="0" borderId="4" applyProtection="1" pivotButton="0" quotePrefix="0" xfId="0">
      <protection locked="0" hidden="0"/>
    </xf>
    <xf numFmtId="0" fontId="0" fillId="0" borderId="5" applyProtection="1" pivotButton="0" quotePrefix="0" xfId="0">
      <protection locked="0" hidden="0"/>
    </xf>
    <xf numFmtId="165" fontId="2" fillId="2" borderId="1" applyProtection="1" pivotButton="0" quotePrefix="0" xfId="0">
      <protection locked="0" hidden="0"/>
    </xf>
    <xf numFmtId="0" fontId="2" fillId="0" borderId="1" applyAlignment="1" pivotButton="0" quotePrefix="0" xfId="0">
      <alignment horizontal="left" vertical="top" wrapText="1"/>
    </xf>
    <xf numFmtId="0" fontId="2" fillId="2" borderId="1" applyAlignment="1" applyProtection="1" pivotButton="0" quotePrefix="0" xfId="0">
      <alignment horizontal="left" vertical="top" wrapText="1"/>
      <protection locked="0" hidden="0"/>
    </xf>
    <xf numFmtId="0" fontId="0" fillId="0" borderId="2" applyProtection="1" pivotButton="0" quotePrefix="0" xfId="0">
      <protection locked="0" hidden="0"/>
    </xf>
    <xf numFmtId="0" fontId="0" fillId="0" borderId="3" applyProtection="1" pivotButton="0" quotePrefix="0" xfId="0">
      <protection locked="0" hidden="0"/>
    </xf>
    <xf numFmtId="0" fontId="0" fillId="0" borderId="6" applyProtection="1" pivotButton="0" quotePrefix="0" xfId="0">
      <protection locked="0" hidden="0"/>
    </xf>
    <xf numFmtId="0" fontId="0" fillId="0" borderId="0" applyProtection="1" pivotButton="0" quotePrefix="0" xfId="0">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0" fillId="0" borderId="9" applyProtection="1" pivotButton="0" quotePrefix="0" xfId="0">
      <protection locked="0" hidden="0"/>
    </xf>
    <xf numFmtId="0" fontId="0" fillId="0" borderId="10" applyProtection="1" pivotButton="0" quotePrefix="0" xfId="0">
      <protection locked="0" hidden="0"/>
    </xf>
    <xf numFmtId="0" fontId="2" fillId="2" borderId="1" applyAlignment="1" applyProtection="1" pivotButton="0" quotePrefix="0" xfId="0">
      <alignment horizontal="center" vertical="center" wrapText="1"/>
      <protection locked="0" hidden="0"/>
    </xf>
    <xf numFmtId="1" fontId="2" fillId="2" borderId="1" applyAlignment="1" applyProtection="1" pivotButton="0" quotePrefix="0" xfId="0">
      <alignment horizontal="center" vertical="center" wrapText="1"/>
      <protection locked="0" hidden="0"/>
    </xf>
    <xf numFmtId="164" fontId="2" fillId="4" borderId="1" applyAlignment="1" pivotButton="0" quotePrefix="0" xfId="0">
      <alignment horizontal="right" vertical="center"/>
    </xf>
    <xf numFmtId="166" fontId="2" fillId="0" borderId="1" applyAlignment="1" pivotButton="0" quotePrefix="0" xfId="0">
      <alignment horizontal="right" vertical="center"/>
    </xf>
    <xf numFmtId="2" fontId="2" fillId="4" borderId="1" applyAlignment="1" pivotButton="0" quotePrefix="0" xfId="0">
      <alignment horizontal="right" vertical="center"/>
    </xf>
    <xf numFmtId="167" fontId="2" fillId="0" borderId="1" applyAlignment="1" pivotButton="0" quotePrefix="0" xfId="0">
      <alignment horizontal="right" vertical="center"/>
    </xf>
    <xf numFmtId="0" fontId="6" fillId="0" borderId="1" applyAlignment="1" pivotButton="0" quotePrefix="0" xfId="0">
      <alignment horizontal="left" vertical="center" wrapText="1"/>
    </xf>
    <xf numFmtId="164" fontId="6" fillId="4" borderId="1" applyAlignment="1" pivotButton="0" quotePrefix="0" xfId="0">
      <alignment horizontal="right" vertical="center"/>
    </xf>
    <xf numFmtId="164" fontId="6" fillId="3" borderId="1" applyAlignment="1" pivotButton="0" quotePrefix="0" xfId="0">
      <alignment horizontal="right" vertical="center"/>
    </xf>
    <xf numFmtId="166" fontId="6" fillId="0" borderId="1" applyAlignment="1" pivotButton="0" quotePrefix="0" xfId="0">
      <alignment horizontal="right" vertical="center"/>
    </xf>
    <xf numFmtId="1" fontId="2" fillId="4" borderId="1" applyAlignment="1" pivotButton="0" quotePrefix="0" xfId="0">
      <alignment horizontal="right" vertical="center"/>
    </xf>
    <xf numFmtId="168" fontId="2" fillId="0" borderId="1" applyAlignment="1" pivotButton="0" quotePrefix="0" xfId="0">
      <alignment horizontal="right" vertical="center"/>
    </xf>
    <xf numFmtId="9" fontId="2" fillId="4" borderId="1" applyAlignment="1" pivotButton="0" quotePrefix="0" xfId="0">
      <alignment horizontal="right" vertical="center"/>
    </xf>
    <xf numFmtId="169" fontId="2" fillId="0" borderId="1" applyAlignment="1" pivotButton="0" quotePrefix="0" xfId="0">
      <alignment horizontal="right" vertical="center"/>
    </xf>
    <xf numFmtId="49" fontId="6" fillId="4" borderId="1" applyAlignment="1" pivotButton="0" quotePrefix="0" xfId="0">
      <alignment horizontal="center" vertical="center" wrapText="1"/>
    </xf>
    <xf numFmtId="49" fontId="6" fillId="3"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3" fontId="4" fillId="0" borderId="0" pivotButton="0" quotePrefix="0" xfId="0"/>
    <xf numFmtId="0" fontId="4" fillId="0" borderId="0" applyAlignment="1" pivotButton="0" quotePrefix="0" xfId="0">
      <alignment horizontal="center" vertical="center" wrapText="1"/>
    </xf>
    <xf numFmtId="164" fontId="2" fillId="0" borderId="1" applyAlignment="1" pivotButton="0" quotePrefix="0" xfId="0">
      <alignment horizontal="right" vertical="center"/>
    </xf>
    <xf numFmtId="0" fontId="4" fillId="4" borderId="1" applyAlignment="1" pivotButton="0" quotePrefix="0" xfId="0">
      <alignment horizontal="center" vertical="center" wrapText="1"/>
    </xf>
    <xf numFmtId="164" fontId="4" fillId="0" borderId="0" pivotButton="0" quotePrefix="0" xfId="0"/>
    <xf numFmtId="2" fontId="4" fillId="0" borderId="0" pivotButton="0" quotePrefix="0" xfId="0"/>
    <xf numFmtId="1" fontId="4" fillId="0" borderId="0" pivotButton="0" quotePrefix="0" xfId="0"/>
    <xf numFmtId="9" fontId="4" fillId="0" borderId="0" pivotButton="0" quotePrefix="0" xfId="0"/>
    <xf numFmtId="49" fontId="4" fillId="0" borderId="0" pivotButton="0" quotePrefix="0" xfId="0"/>
    <xf numFmtId="49" fontId="4" fillId="4" borderId="1" applyAlignment="1" pivotButton="0" quotePrefix="0" xfId="0">
      <alignment horizontal="center" vertical="center" wrapText="1"/>
    </xf>
  </cellXfs>
  <cellStyles count="1">
    <cellStyle name="Normal" xfId="0" builtinId="0" hidden="0"/>
  </cellStyles>
  <dxfs count="2">
    <dxf>
      <font>
        <color rgb="00B91C1C"/>
      </font>
    </dxf>
    <dxf>
      <font>
        <color rgb="0015803D"/>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27"/>
  <sheetViews>
    <sheetView showGridLines="0" workbookViewId="0">
      <selection activeCell="A1" sqref="A1"/>
    </sheetView>
  </sheetViews>
  <sheetFormatPr baseColWidth="8" defaultRowHeight="15"/>
  <cols>
    <col width="3" customWidth="1" min="1" max="1"/>
    <col width="110" customWidth="1" min="2" max="2"/>
  </cols>
  <sheetData>
    <row r="2">
      <c r="B2" s="1" t="inlineStr">
        <is>
          <t>Grille de prix Open Projets : le classeur de l'équipe commerciale</t>
        </is>
      </c>
    </row>
    <row r="4" ht="66" customHeight="1">
      <c r="B4" s="2" t="inlineStr">
        <is>
          <t>Ce classeur reproduit, à l'identique, le calcul de prix de la page de tarification du site. Il sert à proposer une nouvelle grille : vous changez les réglages, vous regardez ce que cela donne sur des communes concrètes, et quand le résultat vous convient, vous nous renvoyez le fichier. Nous reportons alors vos valeurs sur le site.</t>
        </is>
      </c>
    </row>
    <row r="6" ht="51" customHeight="1">
      <c r="B6" s="2" t="inlineStr">
        <is>
          <t>La règle de couleur est la même partout. Les cases jaunes sont à remplir. Les cases grises montrent ce que le site applique aujourd'hui et ne se modifient pas. Tout le reste est calculé et se met à jour tout seul.</t>
        </is>
      </c>
    </row>
    <row r="8" ht="66" customHeight="1">
      <c r="B8" s="2" t="inlineStr">
        <is>
          <t>La feuille Réglages est celle qui compte : chaque ligne est un chiffre de la politique tarifaire, avec la valeur du site à gauche et votre proposition à droite. Au départ, la proposition est égale au site. Une colonne vous permet d'écrire pourquoi vous proposez ce changement, et le bas de la feuille porte votre nom et la date.</t>
        </is>
      </c>
    </row>
    <row r="10" ht="36" customHeight="1">
      <c r="B10" s="2" t="inlineStr">
        <is>
          <t>La feuille Simulateur fait la même chose que la page du site : une population, les modules retenus, une durée d'engagement, et le détail du prix ligne par ligne, avec votre proposition et le site côte à côte.</t>
        </is>
      </c>
    </row>
    <row r="12" ht="51" customHeight="1">
      <c r="B12" s="2" t="inlineStr">
        <is>
          <t>La feuille Grille montre votre proposition sur une quinzaine de tailles de communes à la fois : chaque module seul, puis la suite complète, avec l'écart par rapport au site. C'est elle qui dit si la courbe est cohérente d'un bout à l'autre.</t>
        </is>
      </c>
    </row>
    <row r="14" ht="36" customHeight="1">
      <c r="B14" s="2" t="inlineStr">
        <is>
          <t>La feuille Scénarios vous laisse écrire jusqu'à vingt cas concrets, par exemple vos prospects en cours, et compare pour chacun votre proposition au site. Vous pouvez remplacer les exemples déjà présents.</t>
        </is>
      </c>
    </row>
    <row r="16" ht="111" customHeight="1">
      <c r="B16" s="2" t="inlineStr">
        <is>
          <t>Comment le prix se forme aujourd'hui. Le prix d'un module suit la population en puissance : une commune dix fois plus peuplée paie environ 3.2 fois plus. Toute la courbe est fixée par un seul point, le prix d'une unité de poids pour une commune de 12,000 habitants. Chaque module a un poids qui multiplie ce prix. Le module chantiers vaut la moitié de son poids sous 5,000 habitants et son poids entier à partir de 20,000. Prendre plusieurs modules fait baisser le plus cher d'entre eux de 10% par module ajouté. L'engagement fait ensuite baisser tout l'abonnement, chaque année. La mise en service coûte 6 mois d'abonnement, une seule fois. Tous les montants sont hors taxes.</t>
        </is>
      </c>
    </row>
    <row r="18" ht="51" customHeight="1">
      <c r="B18" s="2" t="inlineStr">
        <is>
          <t>Les seuils de la commande publique (60 000, 90 000 et 216 000 euros hors taxes sur toute la durée) sont rappelés à titre d'information : ils ne se négocient pas, mais ils pèsent sur ce qu'une collectivité peut commander sans mise en concurrence. Le simulateur dit lequel est dépassé.</t>
        </is>
      </c>
    </row>
    <row r="20" ht="66" customHeight="1">
      <c r="B20" s="2" t="inlineStr">
        <is>
          <t>Les feuilles sont protégées sans mot de passe pour éviter d'écraser une formule par mégarde. Si vous avez besoin d'y toucher, l'onglet Révision d'Excel permet d'ôter la protection. Les colonnes de calcul intermédiaire des feuilles Grille et Scénarios sont repliées à droite : le bouton « + » au-dessus des colonnes les déplie.</t>
        </is>
      </c>
    </row>
    <row r="22" ht="36" customHeight="1">
      <c r="B22" s="2" t="inlineStr">
        <is>
          <t>Pour nous renvoyer votre proposition, il suffit d'enregistrer ce fichier et de nous l'envoyer. La feuille Réglages, avec vos commentaires, est ce que nous lisons en premier.</t>
        </is>
      </c>
    </row>
    <row r="24">
      <c r="B24" s="3" t="inlineStr">
        <is>
          <t>Légende</t>
        </is>
      </c>
    </row>
    <row r="25">
      <c r="B25" s="4" t="inlineStr">
        <is>
          <t>Case jaune : à remplir par vous</t>
        </is>
      </c>
    </row>
    <row r="26">
      <c r="B26" s="5" t="inlineStr">
        <is>
          <t>Case grise : la valeur appliquée sur le site aujourd'hui, en lecture seule</t>
        </is>
      </c>
    </row>
    <row r="27">
      <c r="B27" s="6" t="inlineStr">
        <is>
          <t>Case verte : un résultat calculé à partir de votre proposition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5"/>
  <sheetViews>
    <sheetView showGridLines="0" workbookViewId="0">
      <pane ySplit="4" topLeftCell="A5" activePane="bottomLeft" state="frozen"/>
      <selection pane="bottomLeft" activeCell="A1" sqref="A1"/>
    </sheetView>
  </sheetViews>
  <sheetFormatPr baseColWidth="8" defaultRowHeight="15"/>
  <cols>
    <col width="46" customWidth="1" min="1" max="1"/>
    <col width="14" customWidth="1" min="2" max="2"/>
    <col width="20" customWidth="1" min="3" max="3"/>
    <col width="20" customWidth="1" min="4" max="4"/>
    <col width="60" customWidth="1" min="5" max="5"/>
  </cols>
  <sheetData>
    <row r="1">
      <c r="A1" s="1" t="inlineStr">
        <is>
          <t>Réglages de la grille de prix</t>
        </is>
      </c>
    </row>
    <row r="2" ht="34" customHeight="1">
      <c r="A2" s="7" t="inlineStr">
        <is>
          <t>Chaque ligne est un chiffre de la politique tarifaire. La colonne grise montre le site aujourd'hui, la colonne jaune porte votre proposition : c'est elle que lisent toutes les autres feuilles. Écrivez en face pourquoi vous proposez ce changement.</t>
        </is>
      </c>
    </row>
    <row r="4">
      <c r="A4" s="8" t="inlineStr">
        <is>
          <t>Réglage</t>
        </is>
      </c>
      <c r="B4" s="8" t="inlineStr">
        <is>
          <t>Précision</t>
        </is>
      </c>
      <c r="C4" s="8" t="inlineStr">
        <is>
          <t>Sur le site aujourd'hui</t>
        </is>
      </c>
      <c r="D4" s="8" t="inlineStr">
        <is>
          <t>Votre proposition</t>
        </is>
      </c>
      <c r="E4" s="8" t="inlineStr">
        <is>
          <t>Pourquoi ce changement</t>
        </is>
      </c>
    </row>
    <row r="5">
      <c r="A5" s="9" t="inlineStr">
        <is>
          <t>La courbe</t>
        </is>
      </c>
      <c r="B5" s="10" t="n"/>
      <c r="C5" s="10" t="n"/>
      <c r="D5" s="10" t="n"/>
      <c r="E5" s="10" t="n"/>
    </row>
    <row r="6" ht="49" customHeight="1">
      <c r="A6" s="7" t="inlineStr">
        <is>
          <t>Le prix d'une unité de poids suit la population en puissance. Ces deux chiffres déplacent toute la grille : le prix à l'ancre fait monter ou baisser tous les prix en proportion, l'exposant dit à quelle vitesse le prix monte avec la population (0,6 : dix fois plus d'habitants, quatre fois plus cher ; 1 : dix fois plus cher).</t>
        </is>
      </c>
    </row>
    <row r="7">
      <c r="A7" s="11" t="inlineStr">
        <is>
          <t>Population de l'ancre</t>
        </is>
      </c>
      <c r="B7" s="12" t="inlineStr">
        <is>
          <t>habitants</t>
        </is>
      </c>
      <c r="C7" s="13" t="n">
        <v>12000</v>
      </c>
      <c r="D7" s="14" t="n">
        <v>12000</v>
      </c>
      <c r="E7" s="15" t="n"/>
    </row>
    <row r="8">
      <c r="A8" s="11" t="inlineStr">
        <is>
          <t>Prix mensuel HT d'une unité de poids à l'ancre</t>
        </is>
      </c>
      <c r="B8" s="12" t="inlineStr">
        <is>
          <t>€ HT / mois</t>
        </is>
      </c>
      <c r="C8" s="16" t="n">
        <v>200</v>
      </c>
      <c r="D8" s="17" t="n">
        <v>200</v>
      </c>
      <c r="E8" s="15" t="n"/>
    </row>
    <row r="9">
      <c r="A9" s="11" t="inlineStr">
        <is>
          <t>Exposant de la courbe</t>
        </is>
      </c>
      <c r="B9" s="18" t="n"/>
      <c r="C9" s="19" t="n">
        <v>0.5</v>
      </c>
      <c r="D9" s="20" t="n">
        <v>0.5</v>
      </c>
      <c r="E9" s="15" t="n"/>
    </row>
    <row r="10">
      <c r="A10" s="11" t="inlineStr">
        <is>
          <t>Population minimale du simulateur</t>
        </is>
      </c>
      <c r="B10" s="12" t="inlineStr">
        <is>
          <t>habitants</t>
        </is>
      </c>
      <c r="C10" s="13" t="n">
        <v>500</v>
      </c>
      <c r="D10" s="14" t="n">
        <v>500</v>
      </c>
      <c r="E10" s="15" t="n"/>
    </row>
    <row r="11">
      <c r="A11" s="11" t="inlineStr">
        <is>
          <t>Population maximale du simulateur</t>
        </is>
      </c>
      <c r="B11" s="12" t="inlineStr">
        <is>
          <t>habitants</t>
        </is>
      </c>
      <c r="C11" s="13" t="n">
        <v>2500000</v>
      </c>
      <c r="D11" s="14" t="n">
        <v>2500000</v>
      </c>
      <c r="E11" s="15" t="n"/>
    </row>
    <row r="13">
      <c r="A13" s="9" t="inlineStr">
        <is>
          <t>Le poids de chaque module</t>
        </is>
      </c>
      <c r="B13" s="10" t="n"/>
      <c r="C13" s="10" t="n"/>
      <c r="D13" s="10" t="n"/>
      <c r="E13" s="10" t="n"/>
    </row>
    <row r="14" ht="19" customHeight="1">
      <c r="A14" s="7" t="inlineStr">
        <is>
          <t>Le prix d'un module est le prix de l'unité multiplié par son poids. Un poids de 1 vaut exactement le prix de l'unité, un poids de 2 le double.</t>
        </is>
      </c>
    </row>
    <row r="15">
      <c r="A15" s="11" t="inlineStr">
        <is>
          <t>Carte des projets</t>
        </is>
      </c>
      <c r="B15" s="12" t="inlineStr">
        <is>
          <t>fois l'unité</t>
        </is>
      </c>
      <c r="C15" s="19" t="n">
        <v>1</v>
      </c>
      <c r="D15" s="20" t="n">
        <v>1</v>
      </c>
      <c r="E15" s="15" t="n"/>
    </row>
    <row r="16">
      <c r="A16" s="11" t="inlineStr">
        <is>
          <t>Travaux du quotidien</t>
        </is>
      </c>
      <c r="B16" s="12" t="inlineStr">
        <is>
          <t>fois l'unité</t>
        </is>
      </c>
      <c r="C16" s="19" t="n">
        <v>0.6</v>
      </c>
      <c r="D16" s="20" t="n">
        <v>0.6</v>
      </c>
      <c r="E16" s="15" t="n"/>
    </row>
    <row r="17">
      <c r="A17" s="11" t="inlineStr">
        <is>
          <t>Participer</t>
        </is>
      </c>
      <c r="B17" s="12" t="inlineStr">
        <is>
          <t>fois l'unité</t>
        </is>
      </c>
      <c r="C17" s="19" t="n">
        <v>2</v>
      </c>
      <c r="D17" s="20" t="n">
        <v>2</v>
      </c>
      <c r="E17" s="15" t="n"/>
    </row>
    <row r="18">
      <c r="A18" s="11" t="inlineStr">
        <is>
          <t>Diagnostic terrain</t>
        </is>
      </c>
      <c r="B18" s="12" t="inlineStr">
        <is>
          <t>fois l'unité</t>
        </is>
      </c>
      <c r="C18" s="19" t="n">
        <v>0.8</v>
      </c>
      <c r="D18" s="20" t="n">
        <v>0.8</v>
      </c>
      <c r="E18" s="15" t="n"/>
    </row>
    <row r="19">
      <c r="A19" s="11" t="inlineStr">
        <is>
          <t>Chantiers et arrêtés</t>
        </is>
      </c>
      <c r="B19" s="12" t="inlineStr">
        <is>
          <t>fois l'unité</t>
        </is>
      </c>
      <c r="C19" s="19" t="n">
        <v>3</v>
      </c>
      <c r="D19" s="20" t="n">
        <v>3</v>
      </c>
      <c r="E19" s="15" t="n"/>
    </row>
    <row r="21">
      <c r="A21" s="9" t="inlineStr">
        <is>
          <t>Le module chantiers pour les petites communes</t>
        </is>
      </c>
      <c r="B21" s="10" t="n"/>
      <c r="C21" s="10" t="n"/>
      <c r="D21" s="10" t="n"/>
      <c r="E21" s="10" t="n"/>
    </row>
    <row r="22" ht="34" customHeight="1">
      <c r="A22" s="7" t="inlineStr">
        <is>
          <t>Le module chantiers vaut la moitié de son poids jusqu'à la première borne, son poids entier à partir de la seconde, et monte en pente douce entre les deux.</t>
        </is>
      </c>
    </row>
    <row r="23">
      <c r="A23" s="11" t="inlineStr">
        <is>
          <t>Demi-poids jusqu'à</t>
        </is>
      </c>
      <c r="B23" s="12" t="inlineStr">
        <is>
          <t>habitants</t>
        </is>
      </c>
      <c r="C23" s="13" t="n">
        <v>5000</v>
      </c>
      <c r="D23" s="14" t="n">
        <v>5000</v>
      </c>
      <c r="E23" s="15" t="n"/>
    </row>
    <row r="24">
      <c r="A24" s="11" t="inlineStr">
        <is>
          <t>Poids entier à partir de</t>
        </is>
      </c>
      <c r="B24" s="12" t="inlineStr">
        <is>
          <t>habitants</t>
        </is>
      </c>
      <c r="C24" s="13" t="n">
        <v>20000</v>
      </c>
      <c r="D24" s="14" t="n">
        <v>20000</v>
      </c>
      <c r="E24" s="15" t="n"/>
    </row>
    <row r="26">
      <c r="A26" s="9" t="inlineStr">
        <is>
          <t>La remise quand on prend plusieurs modules</t>
        </is>
      </c>
      <c r="B26" s="10" t="n"/>
      <c r="C26" s="10" t="n"/>
      <c r="D26" s="10" t="n"/>
      <c r="E26" s="10" t="n"/>
    </row>
    <row r="27" ht="34" customHeight="1">
      <c r="A27" s="7" t="inlineStr">
        <is>
          <t>La remise porte sur le plus cher des modules retenus, et vaut ce taux par module ajouté au premier : avec deux modules le plus cher baisse de 10 %, avec trois de 20 %, avec cinq de 40 %.</t>
        </is>
      </c>
    </row>
    <row r="28">
      <c r="A28" s="11" t="inlineStr">
        <is>
          <t>Remise par module ajouté, sur le module le plus cher</t>
        </is>
      </c>
      <c r="B28" s="18" t="n"/>
      <c r="C28" s="21" t="n">
        <v>0.1</v>
      </c>
      <c r="D28" s="22" t="n">
        <v>0.1</v>
      </c>
      <c r="E28" s="15" t="n"/>
    </row>
    <row r="30">
      <c r="A30" s="9" t="inlineStr">
        <is>
          <t>La remise d'engagement</t>
        </is>
      </c>
      <c r="B30" s="10" t="n"/>
      <c r="C30" s="10" t="n"/>
      <c r="D30" s="10" t="n"/>
      <c r="E30" s="10" t="n"/>
    </row>
    <row r="31" ht="19" customHeight="1">
      <c r="A31" s="7" t="inlineStr">
        <is>
          <t>Elle s'applique à tout l'abonnement, chaque année, selon la durée d'engagement. Un accord-cadre public ne dépasse pas quatre ans.</t>
        </is>
      </c>
    </row>
    <row r="32">
      <c r="A32" s="11" t="inlineStr">
        <is>
          <t>Engagement 1 an</t>
        </is>
      </c>
      <c r="B32" s="23" t="n">
        <v>1</v>
      </c>
      <c r="C32" s="21" t="n">
        <v>0</v>
      </c>
      <c r="D32" s="22" t="n">
        <v>0</v>
      </c>
      <c r="E32" s="15" t="n"/>
    </row>
    <row r="33">
      <c r="A33" s="11" t="inlineStr">
        <is>
          <t>Engagement 2 ans</t>
        </is>
      </c>
      <c r="B33" s="23" t="n">
        <v>2</v>
      </c>
      <c r="C33" s="21" t="n">
        <v>0.1</v>
      </c>
      <c r="D33" s="22" t="n">
        <v>0.1</v>
      </c>
      <c r="E33" s="15" t="n"/>
    </row>
    <row r="34">
      <c r="A34" s="11" t="inlineStr">
        <is>
          <t>Engagement 3 ans</t>
        </is>
      </c>
      <c r="B34" s="23" t="n">
        <v>3</v>
      </c>
      <c r="C34" s="21" t="n">
        <v>0.15</v>
      </c>
      <c r="D34" s="22" t="n">
        <v>0.15</v>
      </c>
      <c r="E34" s="15" t="n"/>
    </row>
    <row r="35">
      <c r="A35" s="11" t="inlineStr">
        <is>
          <t>Engagement 4 ans</t>
        </is>
      </c>
      <c r="B35" s="23" t="n">
        <v>4</v>
      </c>
      <c r="C35" s="21" t="n">
        <v>0.2</v>
      </c>
      <c r="D35" s="22" t="n">
        <v>0.2</v>
      </c>
      <c r="E35" s="15" t="n"/>
    </row>
    <row r="37">
      <c r="A37" s="9" t="inlineStr">
        <is>
          <t>La mise en service</t>
        </is>
      </c>
      <c r="B37" s="10" t="n"/>
      <c r="C37" s="10" t="n"/>
      <c r="D37" s="10" t="n"/>
      <c r="E37" s="10" t="n"/>
    </row>
    <row r="38" ht="19" customHeight="1">
      <c r="A38" s="7" t="inlineStr">
        <is>
          <t>Facturée une seule fois, en mois d'abonnement tel qu'il sort après toutes les remises. Offerte aux communes sous le seuil d'habitants.</t>
        </is>
      </c>
    </row>
    <row r="39">
      <c r="A39" s="11" t="inlineStr">
        <is>
          <t>Mise en service, en mois d'abonnement</t>
        </is>
      </c>
      <c r="B39" s="12" t="inlineStr">
        <is>
          <t>mois</t>
        </is>
      </c>
      <c r="C39" s="24" t="n">
        <v>6</v>
      </c>
      <c r="D39" s="25" t="n">
        <v>6</v>
      </c>
      <c r="E39" s="15" t="n"/>
    </row>
    <row r="40">
      <c r="A40" s="11" t="inlineStr">
        <is>
          <t>Mise en service offerte sous</t>
        </is>
      </c>
      <c r="B40" s="12" t="inlineStr">
        <is>
          <t>habitants</t>
        </is>
      </c>
      <c r="C40" s="13" t="n">
        <v>0</v>
      </c>
      <c r="D40" s="14" t="n">
        <v>0</v>
      </c>
      <c r="E40" s="15" t="n"/>
    </row>
    <row r="42">
      <c r="A42" s="9" t="inlineStr">
        <is>
          <t>Les seuils de la commande publique (pour information)</t>
        </is>
      </c>
      <c r="B42" s="10" t="n"/>
      <c r="C42" s="10" t="n"/>
      <c r="D42" s="10" t="n"/>
      <c r="E42" s="10" t="n"/>
    </row>
    <row r="43" ht="34" customHeight="1">
      <c r="A43" s="7" t="inlineStr">
        <is>
          <t>Ces montants sont fixés par le code de la commande publique et s'apprécient sur le total hors taxes de tout le marché, mise en service comprise. Ils ne se modifient pas ici.</t>
        </is>
      </c>
    </row>
    <row r="44">
      <c r="A44" s="11" t="inlineStr">
        <is>
          <t>Procédure adaptée</t>
        </is>
      </c>
      <c r="B44" s="12" t="inlineStr">
        <is>
          <t>€ HT, total</t>
        </is>
      </c>
      <c r="C44" s="16" t="n">
        <v>60000</v>
      </c>
      <c r="D44" s="16" t="n">
        <v>60000</v>
      </c>
      <c r="E44" s="15" t="n"/>
    </row>
    <row r="45">
      <c r="A45" s="11" t="inlineStr">
        <is>
          <t>Publicité obligatoire</t>
        </is>
      </c>
      <c r="B45" s="12" t="inlineStr">
        <is>
          <t>€ HT, total</t>
        </is>
      </c>
      <c r="C45" s="16" t="n">
        <v>90000</v>
      </c>
      <c r="D45" s="16" t="n">
        <v>90000</v>
      </c>
      <c r="E45" s="15" t="n"/>
    </row>
    <row r="46">
      <c r="A46" s="11" t="inlineStr">
        <is>
          <t>Procédure formalisée</t>
        </is>
      </c>
      <c r="B46" s="12" t="inlineStr">
        <is>
          <t>€ HT, total</t>
        </is>
      </c>
      <c r="C46" s="16" t="n">
        <v>216000</v>
      </c>
      <c r="D46" s="16" t="n">
        <v>216000</v>
      </c>
      <c r="E46" s="15" t="n"/>
    </row>
    <row r="49">
      <c r="A49" s="3" t="inlineStr">
        <is>
          <t>Votre proposition est portée par</t>
        </is>
      </c>
    </row>
    <row r="50">
      <c r="A50" s="11" t="inlineStr">
        <is>
          <t>Nom</t>
        </is>
      </c>
      <c r="B50" s="26" t="n"/>
      <c r="C50" s="27" t="n"/>
      <c r="D50" s="28" t="n"/>
    </row>
    <row r="51">
      <c r="A51" s="11" t="inlineStr">
        <is>
          <t>Date</t>
        </is>
      </c>
      <c r="B51" s="29" t="n"/>
      <c r="C51" s="27" t="n"/>
      <c r="D51" s="28" t="n"/>
    </row>
    <row r="52" ht="18" customHeight="1">
      <c r="A52" s="30" t="inlineStr">
        <is>
          <t>Remarques générales</t>
        </is>
      </c>
      <c r="B52" s="31" t="n"/>
      <c r="C52" s="32" t="n"/>
      <c r="D52" s="32" t="n"/>
      <c r="E52" s="33" t="n"/>
    </row>
    <row r="53" ht="18" customHeight="1">
      <c r="B53" s="34" t="n"/>
      <c r="C53" s="35" t="n"/>
      <c r="D53" s="35" t="n"/>
      <c r="E53" s="36" t="n"/>
    </row>
    <row r="54" ht="18" customHeight="1">
      <c r="B54" s="34" t="n"/>
      <c r="C54" s="35" t="n"/>
      <c r="D54" s="35" t="n"/>
      <c r="E54" s="36" t="n"/>
    </row>
    <row r="55" ht="18" customHeight="1">
      <c r="B55" s="37" t="n"/>
      <c r="C55" s="38" t="n"/>
      <c r="D55" s="38" t="n"/>
      <c r="E55" s="39" t="n"/>
    </row>
  </sheetData>
  <sheetProtection selectLockedCells="0" selectUnlockedCells="0" sheet="1" objects="0" insertRows="1" insertHyperlinks="1" autoFilter="0" scenarios="0" formatColumns="0" deleteColumns="1" insertColumns="1" pivotTables="1" deleteRows="1" formatCells="1" formatRows="0" sort="0"/>
  <mergeCells count="11">
    <mergeCell ref="A43:E43"/>
    <mergeCell ref="A38:E38"/>
    <mergeCell ref="A2:E2"/>
    <mergeCell ref="B52:E55"/>
    <mergeCell ref="B51:D51"/>
    <mergeCell ref="B50:D50"/>
    <mergeCell ref="A14:E14"/>
    <mergeCell ref="A6:E6"/>
    <mergeCell ref="A22:E22"/>
    <mergeCell ref="A31:E31"/>
    <mergeCell ref="A27:E27"/>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5"/>
  <sheetViews>
    <sheetView showGridLines="0" workbookViewId="0">
      <pane ySplit="4" topLeftCell="A5" activePane="bottomLeft" state="frozen"/>
      <selection pane="bottomLeft" activeCell="A1" sqref="A1"/>
    </sheetView>
  </sheetViews>
  <sheetFormatPr baseColWidth="8" defaultRowHeight="15"/>
  <cols>
    <col width="44" customWidth="1" min="1" max="1"/>
    <col width="22" customWidth="1" min="2" max="2"/>
    <col width="22" customWidth="1" min="3" max="3"/>
    <col width="18" customWidth="1" min="4" max="4"/>
    <col width="4" customWidth="1" min="5" max="5"/>
  </cols>
  <sheetData>
    <row r="1">
      <c r="A1" s="1" t="inlineStr">
        <is>
          <t>Simulateur : une commune, ses modules, son prix</t>
        </is>
      </c>
    </row>
    <row r="2" ht="30" customHeight="1">
      <c r="A2" s="7" t="inlineStr">
        <is>
          <t>Remplissez les cases jaunes comme le ferait un visiteur de la page du site. Le détail du prix s'affiche en dessous, avec votre proposition et le site côte à côte.</t>
        </is>
      </c>
    </row>
    <row r="4">
      <c r="A4" s="8" t="inlineStr">
        <is>
          <t>La commune et son choix</t>
        </is>
      </c>
      <c r="B4" s="8" t="inlineStr">
        <is>
          <t>Votre saisie</t>
        </is>
      </c>
    </row>
    <row r="5">
      <c r="A5" s="11" t="inlineStr">
        <is>
          <t>Population de la commune</t>
        </is>
      </c>
      <c r="B5" s="14" t="n">
        <v>12000</v>
      </c>
    </row>
    <row r="6">
      <c r="A6" s="11" t="inlineStr">
        <is>
          <t>Module Carte des projets</t>
        </is>
      </c>
      <c r="B6" s="40" t="inlineStr">
        <is>
          <t>Oui</t>
        </is>
      </c>
    </row>
    <row r="7">
      <c r="A7" s="11" t="inlineStr">
        <is>
          <t>Module Travaux du quotidien</t>
        </is>
      </c>
      <c r="B7" s="40" t="inlineStr">
        <is>
          <t>Oui</t>
        </is>
      </c>
    </row>
    <row r="8">
      <c r="A8" s="11" t="inlineStr">
        <is>
          <t>Module Participer</t>
        </is>
      </c>
      <c r="B8" s="40" t="inlineStr">
        <is>
          <t>Non</t>
        </is>
      </c>
    </row>
    <row r="9">
      <c r="A9" s="11" t="inlineStr">
        <is>
          <t>Module Diagnostic terrain</t>
        </is>
      </c>
      <c r="B9" s="40" t="inlineStr">
        <is>
          <t>Non</t>
        </is>
      </c>
    </row>
    <row r="10">
      <c r="A10" s="11" t="inlineStr">
        <is>
          <t>Module Chantiers et arrêtés</t>
        </is>
      </c>
      <c r="B10" s="40" t="inlineStr">
        <is>
          <t>Non</t>
        </is>
      </c>
    </row>
    <row r="11">
      <c r="A11" s="11" t="inlineStr">
        <is>
          <t>Durée d'engagement, en années</t>
        </is>
      </c>
      <c r="B11" s="41" t="n">
        <v>3</v>
      </c>
    </row>
    <row r="13">
      <c r="A13" s="8" t="inlineStr">
        <is>
          <t>Le détail du prix, hors taxes</t>
        </is>
      </c>
      <c r="B13" s="8" t="inlineStr">
        <is>
          <t>Votre proposition</t>
        </is>
      </c>
      <c r="C13" s="8" t="inlineStr">
        <is>
          <t>Le site aujourd'hui</t>
        </is>
      </c>
      <c r="D13" s="8" t="inlineStr">
        <is>
          <t>Écart</t>
        </is>
      </c>
    </row>
    <row r="14">
      <c r="A14" s="11" t="inlineStr">
        <is>
          <t>Prix d'une unité de poids pour cette population</t>
        </is>
      </c>
      <c r="B14" s="42">
        <f>Prix_ancre*($B$33/Population_ancre)^Exposant</f>
        <v/>
      </c>
      <c r="C14" s="16">
        <f>Site_Prix_ancre*($C$33/Site_Population_ancre)^Site_Exposant</f>
        <v/>
      </c>
      <c r="D14" s="43">
        <f>B14-C14</f>
        <v/>
      </c>
    </row>
    <row r="15">
      <c r="A15" s="11" t="inlineStr">
        <is>
          <t>Poids appliqué au module chantiers</t>
        </is>
      </c>
      <c r="B15" s="44">
        <f>IF($B$33&lt;=Chantiers_demi_poids_sous,Poids_chantiers/2,IF($B$33&gt;=Chantiers_plein_poids_des,Poids_chantiers,Poids_chantiers*(0.5+0.5*(LN($B$33)-LN(Chantiers_demi_poids_sous))/(LN(Chantiers_plein_poids_des)-LN(Chantiers_demi_poids_sous)))))</f>
        <v/>
      </c>
      <c r="C15" s="19">
        <f>IF($C$33&lt;=Site_Chantiers_demi_poids_sous,Site_Poids_chantiers/2,IF($C$33&gt;=Site_Chantiers_plein_poids_des,Site_Poids_chantiers,Site_Poids_chantiers*(0.5+0.5*(LN($C$33)-LN(Site_Chantiers_demi_poids_sous))/(LN(Site_Chantiers_plein_poids_des)-LN(Site_Chantiers_demi_poids_sous)))))</f>
        <v/>
      </c>
      <c r="D15" s="45">
        <f>B15-C15</f>
        <v/>
      </c>
    </row>
    <row r="16">
      <c r="A16" s="11" t="inlineStr">
        <is>
          <t>Carte des projets, par mois</t>
        </is>
      </c>
      <c r="B16" s="42">
        <f>IF($B$6="Oui",$B$14*Poids_carte,0)</f>
        <v/>
      </c>
      <c r="C16" s="16">
        <f>IF($B$6="Oui",$C$14*Site_Poids_carte,0)</f>
        <v/>
      </c>
      <c r="D16" s="43">
        <f>B16-C16</f>
        <v/>
      </c>
    </row>
    <row r="17">
      <c r="A17" s="11" t="inlineStr">
        <is>
          <t>Travaux du quotidien, par mois</t>
        </is>
      </c>
      <c r="B17" s="42">
        <f>IF($B$7="Oui",$B$14*Poids_travaux,0)</f>
        <v/>
      </c>
      <c r="C17" s="16">
        <f>IF($B$7="Oui",$C$14*Site_Poids_travaux,0)</f>
        <v/>
      </c>
      <c r="D17" s="43">
        <f>B17-C17</f>
        <v/>
      </c>
    </row>
    <row r="18">
      <c r="A18" s="11" t="inlineStr">
        <is>
          <t>Participer, par mois</t>
        </is>
      </c>
      <c r="B18" s="42">
        <f>IF($B$8="Oui",$B$14*Poids_participer,0)</f>
        <v/>
      </c>
      <c r="C18" s="16">
        <f>IF($B$8="Oui",$C$14*Site_Poids_participer,0)</f>
        <v/>
      </c>
      <c r="D18" s="43">
        <f>B18-C18</f>
        <v/>
      </c>
    </row>
    <row r="19">
      <c r="A19" s="11" t="inlineStr">
        <is>
          <t>Diagnostic terrain, par mois</t>
        </is>
      </c>
      <c r="B19" s="42">
        <f>IF($B$9="Oui",$B$14*Poids_diagnostic,0)</f>
        <v/>
      </c>
      <c r="C19" s="16">
        <f>IF($B$9="Oui",$C$14*Site_Poids_diagnostic,0)</f>
        <v/>
      </c>
      <c r="D19" s="43">
        <f>B19-C19</f>
        <v/>
      </c>
    </row>
    <row r="20">
      <c r="A20" s="11" t="inlineStr">
        <is>
          <t>Chantiers et arrêtés, par mois</t>
        </is>
      </c>
      <c r="B20" s="42">
        <f>IF($B$10="Oui",$B$14*$B$15,0)</f>
        <v/>
      </c>
      <c r="C20" s="16">
        <f>IF($B$10="Oui",$C$14*$C$15,0)</f>
        <v/>
      </c>
      <c r="D20" s="43">
        <f>B20-C20</f>
        <v/>
      </c>
    </row>
    <row r="21">
      <c r="A21" s="46" t="inlineStr">
        <is>
          <t>Total des modules avant remises, par mois</t>
        </is>
      </c>
      <c r="B21" s="47">
        <f>SUM($B$16:$B$20)</f>
        <v/>
      </c>
      <c r="C21" s="48">
        <f>SUM($C$16:$C$20)</f>
        <v/>
      </c>
      <c r="D21" s="49">
        <f>B21-C21</f>
        <v/>
      </c>
    </row>
    <row r="22">
      <c r="A22" s="11" t="inlineStr">
        <is>
          <t>Nombre de modules retenus</t>
        </is>
      </c>
      <c r="B22" s="50">
        <f>COUNTIF($B$6:$B$10,"Oui")</f>
        <v/>
      </c>
      <c r="C22" s="24">
        <f>COUNTIF($B$6:$B$10,"Oui")</f>
        <v/>
      </c>
      <c r="D22" s="51">
        <f>B22-C22</f>
        <v/>
      </c>
    </row>
    <row r="23">
      <c r="A23" s="11" t="inlineStr">
        <is>
          <t>Taux de la remise multi-modules (sur le plus cher)</t>
        </is>
      </c>
      <c r="B23" s="52">
        <f>MIN(0.9,MAX(0,$B$22-1)*Remise_par_module_ajoute)</f>
        <v/>
      </c>
      <c r="C23" s="21">
        <f>MIN(0.9,MAX(0,$C$22-1)*Site_Remise_par_module_ajoute)</f>
        <v/>
      </c>
      <c r="D23" s="53">
        <f>B23-C23</f>
        <v/>
      </c>
    </row>
    <row r="24">
      <c r="A24" s="11" t="inlineStr">
        <is>
          <t>Remise multi-modules, par mois</t>
        </is>
      </c>
      <c r="B24" s="42">
        <f>MAX($B$16:$B$20)*$B$23</f>
        <v/>
      </c>
      <c r="C24" s="16">
        <f>MAX($C$16:$C$20)*$C$23</f>
        <v/>
      </c>
      <c r="D24" s="43">
        <f>B24-C24</f>
        <v/>
      </c>
    </row>
    <row r="25">
      <c r="A25" s="11" t="inlineStr">
        <is>
          <t>Après remise multi-modules, par mois</t>
        </is>
      </c>
      <c r="B25" s="42">
        <f>$B$21-$B$24</f>
        <v/>
      </c>
      <c r="C25" s="16">
        <f>$C$21-$C$24</f>
        <v/>
      </c>
      <c r="D25" s="43">
        <f>B25-C25</f>
        <v/>
      </c>
    </row>
    <row r="26">
      <c r="A26" s="11" t="inlineStr">
        <is>
          <t>Taux de la remise d'engagement</t>
        </is>
      </c>
      <c r="B26" s="52">
        <f>IFERROR(VLOOKUP($B$11,Table_engagements,3,FALSE),0)</f>
        <v/>
      </c>
      <c r="C26" s="21">
        <f>IFERROR(VLOOKUP($B$11,Table_engagements,2,FALSE),0)</f>
        <v/>
      </c>
      <c r="D26" s="53">
        <f>B26-C26</f>
        <v/>
      </c>
    </row>
    <row r="27">
      <c r="A27" s="11" t="inlineStr">
        <is>
          <t>Remise d'engagement, par mois</t>
        </is>
      </c>
      <c r="B27" s="42">
        <f>$B$25*$B$26</f>
        <v/>
      </c>
      <c r="C27" s="16">
        <f>$C$25*$C$26</f>
        <v/>
      </c>
      <c r="D27" s="43">
        <f>B27-C27</f>
        <v/>
      </c>
    </row>
    <row r="28">
      <c r="A28" s="46" t="inlineStr">
        <is>
          <t>Abonnement mensuel</t>
        </is>
      </c>
      <c r="B28" s="47">
        <f>$B$25-$B$27</f>
        <v/>
      </c>
      <c r="C28" s="48">
        <f>$C$25-$C$27</f>
        <v/>
      </c>
      <c r="D28" s="49">
        <f>B28-C28</f>
        <v/>
      </c>
    </row>
    <row r="29">
      <c r="A29" s="46" t="inlineStr">
        <is>
          <t>Abonnement annuel</t>
        </is>
      </c>
      <c r="B29" s="47">
        <f>$B$28*12</f>
        <v/>
      </c>
      <c r="C29" s="48">
        <f>$C$28*12</f>
        <v/>
      </c>
      <c r="D29" s="49">
        <f>B29-C29</f>
        <v/>
      </c>
    </row>
    <row r="30">
      <c r="A30" s="11" t="inlineStr">
        <is>
          <t>Mise en service, une seule fois</t>
        </is>
      </c>
      <c r="B30" s="42">
        <f>IF($B$33&lt;Mise_en_service_offerte_sous,0,$B$28*Mise_en_service_mois)</f>
        <v/>
      </c>
      <c r="C30" s="16">
        <f>IF($C$33&lt;Site_Mise_en_service_offerte_sous,0,$C$28*Site_Mise_en_service_mois)</f>
        <v/>
      </c>
      <c r="D30" s="43">
        <f>B30-C30</f>
        <v/>
      </c>
    </row>
    <row r="31">
      <c r="A31" s="46" t="inlineStr">
        <is>
          <t>Total sur toute la durée d'engagement</t>
        </is>
      </c>
      <c r="B31" s="47">
        <f>$B$30+$B$29*IF(N($B$11)&gt;0,$B$11,1)</f>
        <v/>
      </c>
      <c r="C31" s="48">
        <f>$C$30+$C$29*IF(N($B$11)&gt;0,$B$11,1)</f>
        <v/>
      </c>
      <c r="D31" s="49">
        <f>B31-C31</f>
        <v/>
      </c>
    </row>
    <row r="32">
      <c r="A32" s="46" t="inlineStr">
        <is>
          <t>Seuil de la commande publique dépassé</t>
        </is>
      </c>
      <c r="B32" s="54">
        <f>IF($B$31&gt;=Seuil_3,"Procédure formalisée",IF($B$31&gt;=Seuil_2,"Publicité obligatoire",IF($B$31&gt;=Seuil_1,"Procédure adaptée","Sous les seuils")))</f>
        <v/>
      </c>
      <c r="C32" s="55">
        <f>IF($C$31&gt;=Seuil_3,"Procédure formalisée",IF($C$31&gt;=Seuil_2,"Publicité obligatoire",IF($C$31&gt;=Seuil_1,"Procédure adaptée","Sous les seuils")))</f>
        <v/>
      </c>
      <c r="D32" s="56">
        <f>IF(B32=C32,"","change")</f>
        <v/>
      </c>
    </row>
    <row r="33">
      <c r="A33" s="57" t="inlineStr">
        <is>
          <t>Population retenue par le simulateur (entre ses bornes)</t>
        </is>
      </c>
      <c r="B33" s="58">
        <f>MIN(Population_maximum,MAX(Population_minimum,ROUND($B$5,0)))</f>
        <v/>
      </c>
      <c r="C33" s="58">
        <f>MIN(Site_Population_maximum,MAX(Site_Population_minimum,ROUND($B$5,0)))</f>
        <v/>
      </c>
    </row>
    <row r="35">
      <c r="A35" s="7" t="inlineStr">
        <is>
          <t>L'écart est votre proposition moins le site : un montant positif veut dire que la commune paierait plus qu'aujourd'hui.</t>
        </is>
      </c>
    </row>
  </sheetData>
  <sheetProtection selectLockedCells="0" selectUnlockedCells="0" sheet="1" objects="0" insertRows="1" insertHyperlinks="1" autoFilter="0" scenarios="0" formatColumns="0" deleteColumns="1" insertColumns="1" pivotTables="1" deleteRows="1" formatCells="1" formatRows="0" sort="0"/>
  <mergeCells count="2">
    <mergeCell ref="A35:D35"/>
    <mergeCell ref="A2:D2"/>
  </mergeCells>
  <dataValidations count="2">
    <dataValidation sqref="B6 B7 B8 B9 B10" showDropDown="0" showInputMessage="0" showErrorMessage="0" allowBlank="0" type="list">
      <formula1>"Oui,Non"</formula1>
    </dataValidation>
    <dataValidation sqref="B11" showDropDown="0" showInputMessage="0" showErrorMessage="0" allowBlank="0" type="list">
      <formula1>"1,2,3,4"</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0"/>
    <pageSetUpPr/>
  </sheetPr>
  <dimension ref="A1:BH23"/>
  <sheetViews>
    <sheetView showGridLines="0" workbookViewId="0">
      <pane xSplit="2" ySplit="5" topLeftCell="C6" activePane="bottomRight" state="frozen"/>
      <selection pane="topRight"/>
      <selection pane="bottomLeft"/>
      <selection pane="bottomRight" activeCell="A1" sqref="A1"/>
    </sheetView>
  </sheetViews>
  <sheetFormatPr baseColWidth="8" defaultRowHeight="15"/>
  <cols>
    <col width="22" customWidth="1" min="1" max="1"/>
    <col width="12" customWidth="1" min="2" max="2"/>
    <col width="14"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8" customWidth="1" min="11" max="11"/>
    <col width="20" customWidth="1" min="12" max="12"/>
    <col width="16" customWidth="1" min="13" max="13"/>
    <col width="14" customWidth="1" min="14" max="14"/>
    <col width="10" customWidth="1" min="15" max="15"/>
    <col width="3" customWidth="1" min="19" max="19"/>
    <col hidden="1" outlineLevel="1" width="14" customWidth="1" min="20" max="20"/>
    <col hidden="1" outlineLevel="1" width="14" customWidth="1" min="21" max="21"/>
    <col hidden="1" outlineLevel="1" width="14" customWidth="1" min="22" max="22"/>
    <col hidden="1" outlineLevel="1" width="14" customWidth="1" min="23" max="23"/>
    <col hidden="1" outlineLevel="1" width="14" customWidth="1" min="24" max="24"/>
    <col hidden="1" outlineLevel="1" width="14" customWidth="1" min="25" max="25"/>
    <col hidden="1" outlineLevel="1" width="14" customWidth="1" min="26" max="26"/>
    <col hidden="1" outlineLevel="1" width="14" customWidth="1" min="27" max="27"/>
    <col hidden="1" outlineLevel="1" width="14" customWidth="1" min="28" max="28"/>
    <col hidden="1" outlineLevel="1" width="14" customWidth="1" min="29" max="29"/>
    <col hidden="1" outlineLevel="1" width="14" customWidth="1" min="30" max="30"/>
    <col hidden="1" outlineLevel="1" width="14" customWidth="1" min="31" max="31"/>
    <col hidden="1" outlineLevel="1" width="14" customWidth="1" min="32" max="32"/>
    <col hidden="1" outlineLevel="1" width="14" customWidth="1" min="33" max="33"/>
    <col hidden="1" outlineLevel="1" width="14" customWidth="1" min="34" max="34"/>
    <col hidden="1" outlineLevel="1" width="14" customWidth="1" min="35" max="35"/>
    <col hidden="1" outlineLevel="1" width="14" customWidth="1" min="36" max="36"/>
    <col hidden="1" outlineLevel="1" width="14" customWidth="1" min="37" max="37"/>
    <col hidden="1" outlineLevel="1" width="14" customWidth="1" min="38" max="38"/>
    <col hidden="1" outlineLevel="1" width="14" customWidth="1" min="39" max="39"/>
    <col hidden="1" outlineLevel="1" width="14" customWidth="1" min="41" max="41"/>
    <col hidden="1" outlineLevel="1" width="14" customWidth="1" min="42" max="42"/>
    <col hidden="1" outlineLevel="1" width="14" customWidth="1" min="43" max="43"/>
    <col hidden="1" outlineLevel="1" width="14" customWidth="1" min="44" max="44"/>
    <col hidden="1" outlineLevel="1" width="14" customWidth="1" min="45" max="45"/>
    <col hidden="1" outlineLevel="1" width="14" customWidth="1" min="46" max="46"/>
    <col hidden="1" outlineLevel="1" width="14" customWidth="1" min="47" max="47"/>
    <col hidden="1" outlineLevel="1" width="14" customWidth="1" min="48" max="48"/>
    <col hidden="1" outlineLevel="1" width="14" customWidth="1" min="49" max="49"/>
    <col hidden="1" outlineLevel="1" width="14" customWidth="1" min="50" max="50"/>
    <col hidden="1" outlineLevel="1" width="14" customWidth="1" min="51" max="51"/>
    <col hidden="1" outlineLevel="1" width="14" customWidth="1" min="52" max="52"/>
    <col hidden="1" outlineLevel="1" width="14" customWidth="1" min="53" max="53"/>
    <col hidden="1" outlineLevel="1" width="14" customWidth="1" min="54" max="54"/>
    <col hidden="1" outlineLevel="1" width="14" customWidth="1" min="55" max="55"/>
    <col hidden="1" outlineLevel="1" width="14" customWidth="1" min="56" max="56"/>
    <col hidden="1" outlineLevel="1" width="14" customWidth="1" min="57" max="57"/>
    <col hidden="1" outlineLevel="1" width="14" customWidth="1" min="58" max="58"/>
    <col hidden="1" outlineLevel="1" width="14" customWidth="1" min="59" max="59"/>
    <col hidden="1" outlineLevel="1" width="14" customWidth="1" min="60" max="60"/>
  </cols>
  <sheetData>
    <row r="1">
      <c r="A1" s="1" t="inlineStr">
        <is>
          <t>Grille : votre proposition sur toutes les tailles de communes</t>
        </is>
      </c>
    </row>
    <row r="2" ht="34" customHeight="1">
      <c r="A2" s="7" t="inlineStr">
        <is>
          <t>Chaque ligne est une taille de commune (les populations et leurs noms se modifient). Les prix sont mensuels hors taxes : chaque module pris seul, puis la suite complète des cinq modules avec sa remise multi-modules. La durée d'engagement choisie ci-dessous s'applique à toute la feuille.</t>
        </is>
      </c>
    </row>
    <row r="3">
      <c r="A3" s="11" t="inlineStr">
        <is>
          <t>Durée d'engagement appliquée à la grille, en années</t>
        </is>
      </c>
      <c r="B3" s="41" t="n">
        <v>1</v>
      </c>
    </row>
    <row r="5" ht="46" customHeight="1">
      <c r="A5" s="8" t="inlineStr">
        <is>
          <t>Commune type</t>
        </is>
      </c>
      <c r="B5" s="8" t="inlineStr">
        <is>
          <t>Habitants</t>
        </is>
      </c>
      <c r="C5" s="8" t="inlineStr">
        <is>
          <t>Une unité de poids</t>
        </is>
      </c>
      <c r="D5" s="8" t="inlineStr">
        <is>
          <t>Carte des projets seul</t>
        </is>
      </c>
      <c r="E5" s="8" t="inlineStr">
        <is>
          <t>Travaux du quotidien seul</t>
        </is>
      </c>
      <c r="F5" s="8" t="inlineStr">
        <is>
          <t>Participer seul</t>
        </is>
      </c>
      <c r="G5" s="8" t="inlineStr">
        <is>
          <t>Diagnostic terrain seul</t>
        </is>
      </c>
      <c r="H5" s="8" t="inlineStr">
        <is>
          <t>Chantiers et arrêtés seul</t>
        </is>
      </c>
      <c r="I5" s="8" t="inlineStr">
        <is>
          <t>Les 5 modules, par mois</t>
        </is>
      </c>
      <c r="J5" s="8" t="inlineStr">
        <is>
          <t>Mise en service (5 modules)</t>
        </is>
      </c>
      <c r="K5" s="8" t="inlineStr">
        <is>
          <t>Total sur la durée (5 modules)</t>
        </is>
      </c>
      <c r="L5" s="8" t="inlineStr">
        <is>
          <t>Seuil dépassé</t>
        </is>
      </c>
      <c r="M5" s="8" t="inlineStr">
        <is>
          <t>Les 5 modules sur le site</t>
        </is>
      </c>
      <c r="N5" s="8" t="inlineStr">
        <is>
          <t>Écart par mois</t>
        </is>
      </c>
      <c r="O5" s="8" t="inlineStr">
        <is>
          <t>Écart en %</t>
        </is>
      </c>
      <c r="T5" s="59" t="inlineStr">
        <is>
          <t>Proposition : Population retenue</t>
        </is>
      </c>
      <c r="U5" s="59" t="inlineStr">
        <is>
          <t>Proposition : Prix d'une unité de poids</t>
        </is>
      </c>
      <c r="V5" s="59" t="inlineStr">
        <is>
          <t>Proposition : Poids chantiers</t>
        </is>
      </c>
      <c r="W5" s="59" t="inlineStr">
        <is>
          <t>Proposition : Prix Carte des projets</t>
        </is>
      </c>
      <c r="X5" s="59" t="inlineStr">
        <is>
          <t>Proposition : Prix Travaux du quotidien</t>
        </is>
      </c>
      <c r="Y5" s="59" t="inlineStr">
        <is>
          <t>Proposition : Prix Participer</t>
        </is>
      </c>
      <c r="Z5" s="59" t="inlineStr">
        <is>
          <t>Proposition : Prix Diagnostic terrain</t>
        </is>
      </c>
      <c r="AA5" s="59" t="inlineStr">
        <is>
          <t>Proposition : Prix Chantiers et arrêtés</t>
        </is>
      </c>
      <c r="AB5" s="59" t="inlineStr">
        <is>
          <t>Proposition : Total avant remises</t>
        </is>
      </c>
      <c r="AC5" s="59" t="inlineStr">
        <is>
          <t>Proposition : Modules retenus</t>
        </is>
      </c>
      <c r="AD5" s="59" t="inlineStr">
        <is>
          <t>Proposition : Taux de remise multi-modules</t>
        </is>
      </c>
      <c r="AE5" s="59" t="inlineStr">
        <is>
          <t>Proposition : Remise multi-modules</t>
        </is>
      </c>
      <c r="AF5" s="59" t="inlineStr">
        <is>
          <t>Proposition : Après remise multi-modules</t>
        </is>
      </c>
      <c r="AG5" s="59" t="inlineStr">
        <is>
          <t>Proposition : Taux engagement</t>
        </is>
      </c>
      <c r="AH5" s="59" t="inlineStr">
        <is>
          <t>Proposition : Remise engagement</t>
        </is>
      </c>
      <c r="AI5" s="59" t="inlineStr">
        <is>
          <t>Proposition : Mensuel</t>
        </is>
      </c>
      <c r="AJ5" s="59" t="inlineStr">
        <is>
          <t>Proposition : Annuel</t>
        </is>
      </c>
      <c r="AK5" s="59" t="inlineStr">
        <is>
          <t>Proposition : Mise en service</t>
        </is>
      </c>
      <c r="AL5" s="59" t="inlineStr">
        <is>
          <t>Proposition : Total sur la durée</t>
        </is>
      </c>
      <c r="AM5" s="59" t="inlineStr">
        <is>
          <t>Proposition : Seuil</t>
        </is>
      </c>
      <c r="AO5" s="59" t="inlineStr">
        <is>
          <t>Site : Population retenue</t>
        </is>
      </c>
      <c r="AP5" s="59" t="inlineStr">
        <is>
          <t>Site : Prix d'une unité de poids</t>
        </is>
      </c>
      <c r="AQ5" s="59" t="inlineStr">
        <is>
          <t>Site : Poids chantiers</t>
        </is>
      </c>
      <c r="AR5" s="59" t="inlineStr">
        <is>
          <t>Site : Prix Carte des projets</t>
        </is>
      </c>
      <c r="AS5" s="59" t="inlineStr">
        <is>
          <t>Site : Prix Travaux du quotidien</t>
        </is>
      </c>
      <c r="AT5" s="59" t="inlineStr">
        <is>
          <t>Site : Prix Participer</t>
        </is>
      </c>
      <c r="AU5" s="59" t="inlineStr">
        <is>
          <t>Site : Prix Diagnostic terrain</t>
        </is>
      </c>
      <c r="AV5" s="59" t="inlineStr">
        <is>
          <t>Site : Prix Chantiers et arrêtés</t>
        </is>
      </c>
      <c r="AW5" s="59" t="inlineStr">
        <is>
          <t>Site : Total avant remises</t>
        </is>
      </c>
      <c r="AX5" s="59" t="inlineStr">
        <is>
          <t>Site : Modules retenus</t>
        </is>
      </c>
      <c r="AY5" s="59" t="inlineStr">
        <is>
          <t>Site : Taux de remise multi-modules</t>
        </is>
      </c>
      <c r="AZ5" s="59" t="inlineStr">
        <is>
          <t>Site : Remise multi-modules</t>
        </is>
      </c>
      <c r="BA5" s="59" t="inlineStr">
        <is>
          <t>Site : Après remise multi-modules</t>
        </is>
      </c>
      <c r="BB5" s="59" t="inlineStr">
        <is>
          <t>Site : Taux engagement</t>
        </is>
      </c>
      <c r="BC5" s="59" t="inlineStr">
        <is>
          <t>Site : Remise engagement</t>
        </is>
      </c>
      <c r="BD5" s="59" t="inlineStr">
        <is>
          <t>Site : Mensuel</t>
        </is>
      </c>
      <c r="BE5" s="59" t="inlineStr">
        <is>
          <t>Site : Annuel</t>
        </is>
      </c>
      <c r="BF5" s="59" t="inlineStr">
        <is>
          <t>Site : Mise en service</t>
        </is>
      </c>
      <c r="BG5" s="59" t="inlineStr">
        <is>
          <t>Site : Total sur la durée</t>
        </is>
      </c>
      <c r="BH5" s="59" t="inlineStr">
        <is>
          <t>Site : Seuil</t>
        </is>
      </c>
    </row>
    <row r="6">
      <c r="A6" s="15" t="inlineStr">
        <is>
          <t>Hameau</t>
        </is>
      </c>
      <c r="B6" s="14" t="n">
        <v>500</v>
      </c>
      <c r="C6" s="60">
        <f>U6</f>
        <v/>
      </c>
      <c r="D6" s="60">
        <f>W6*(1-AG6)</f>
        <v/>
      </c>
      <c r="E6" s="60">
        <f>X6*(1-AG6)</f>
        <v/>
      </c>
      <c r="F6" s="60">
        <f>Y6*(1-AG6)</f>
        <v/>
      </c>
      <c r="G6" s="60">
        <f>Z6*(1-AG6)</f>
        <v/>
      </c>
      <c r="H6" s="60">
        <f>AA6*(1-AG6)</f>
        <v/>
      </c>
      <c r="I6" s="47">
        <f>AI6</f>
        <v/>
      </c>
      <c r="J6" s="42">
        <f>AK6</f>
        <v/>
      </c>
      <c r="K6" s="42">
        <f>AL6</f>
        <v/>
      </c>
      <c r="L6" s="61">
        <f>AM6</f>
        <v/>
      </c>
      <c r="M6" s="16">
        <f>BD6</f>
        <v/>
      </c>
      <c r="N6" s="43">
        <f>AI6-BD6</f>
        <v/>
      </c>
      <c r="O6" s="53">
        <f>IF(BD6=0,0,AI6/BD6-1)</f>
        <v/>
      </c>
      <c r="T6" s="58">
        <f>MIN(Population_maximum,MAX(Population_minimum,ROUND($B6,0)))</f>
        <v/>
      </c>
      <c r="U6" s="62">
        <f>Prix_ancre*(T6/Population_ancre)^Exposant</f>
        <v/>
      </c>
      <c r="V6" s="63">
        <f>IF(T6&lt;=Chantiers_demi_poids_sous,Poids_chantiers/2,IF(T6&gt;=Chantiers_plein_poids_des,Poids_chantiers,Poids_chantiers*(0.5+0.5*(LN(T6)-LN(Chantiers_demi_poids_sous))/(LN(Chantiers_plein_poids_des)-LN(Chantiers_demi_poids_sous)))))</f>
        <v/>
      </c>
      <c r="W6" s="62">
        <f>U6*Poids_carte</f>
        <v/>
      </c>
      <c r="X6" s="62">
        <f>U6*Poids_travaux</f>
        <v/>
      </c>
      <c r="Y6" s="62">
        <f>U6*Poids_participer</f>
        <v/>
      </c>
      <c r="Z6" s="62">
        <f>U6*Poids_diagnostic</f>
        <v/>
      </c>
      <c r="AA6" s="62">
        <f>U6*V6</f>
        <v/>
      </c>
      <c r="AB6" s="62">
        <f>SUM(W6:AA6)</f>
        <v/>
      </c>
      <c r="AC6" s="64">
        <f>5</f>
        <v/>
      </c>
      <c r="AD6" s="65">
        <f>MIN(0.9,MAX(0,AC6-1)*Remise_par_module_ajoute)</f>
        <v/>
      </c>
      <c r="AE6" s="62">
        <f>MAX(W6:AA6)*AD6</f>
        <v/>
      </c>
      <c r="AF6" s="62">
        <f>AB6-AE6</f>
        <v/>
      </c>
      <c r="AG6" s="65">
        <f>IFERROR(VLOOKUP($B$3,Table_engagements,3,FALSE),0)</f>
        <v/>
      </c>
      <c r="AH6" s="62">
        <f>AF6*AG6</f>
        <v/>
      </c>
      <c r="AI6" s="62">
        <f>AF6-AH6</f>
        <v/>
      </c>
      <c r="AJ6" s="62">
        <f>AI6*12</f>
        <v/>
      </c>
      <c r="AK6" s="62">
        <f>IF(T6&lt;Mise_en_service_offerte_sous,0,AI6*Mise_en_service_mois)</f>
        <v/>
      </c>
      <c r="AL6" s="62">
        <f>AK6+AJ6*IF(N($B$3)&gt;0,$B$3,1)</f>
        <v/>
      </c>
      <c r="AM6" s="66">
        <f>IF(AL6&gt;=Seuil_3,"Procédure formalisée",IF(AL6&gt;=Seuil_2,"Publicité obligatoire",IF(AL6&gt;=Seuil_1,"Procédure adaptée","Sous les seuils")))</f>
        <v/>
      </c>
      <c r="AO6" s="58">
        <f>MIN(Site_Population_maximum,MAX(Site_Population_minimum,ROUND($B6,0)))</f>
        <v/>
      </c>
      <c r="AP6" s="62">
        <f>Site_Prix_ancre*(AO6/Site_Population_ancre)^Site_Exposant</f>
        <v/>
      </c>
      <c r="AQ6" s="63">
        <f>IF(AO6&lt;=Site_Chantiers_demi_poids_sous,Site_Poids_chantiers/2,IF(AO6&gt;=Site_Chantiers_plein_poids_des,Site_Poids_chantiers,Site_Poids_chantiers*(0.5+0.5*(LN(AO6)-LN(Site_Chantiers_demi_poids_sous))/(LN(Site_Chantiers_plein_poids_des)-LN(Site_Chantiers_demi_poids_sous)))))</f>
        <v/>
      </c>
      <c r="AR6" s="62">
        <f>AP6*Site_Poids_carte</f>
        <v/>
      </c>
      <c r="AS6" s="62">
        <f>AP6*Site_Poids_travaux</f>
        <v/>
      </c>
      <c r="AT6" s="62">
        <f>AP6*Site_Poids_participer</f>
        <v/>
      </c>
      <c r="AU6" s="62">
        <f>AP6*Site_Poids_diagnostic</f>
        <v/>
      </c>
      <c r="AV6" s="62">
        <f>AP6*AQ6</f>
        <v/>
      </c>
      <c r="AW6" s="62">
        <f>SUM(AR6:AV6)</f>
        <v/>
      </c>
      <c r="AX6" s="64">
        <f>5</f>
        <v/>
      </c>
      <c r="AY6" s="65">
        <f>MIN(0.9,MAX(0,AX6-1)*Site_Remise_par_module_ajoute)</f>
        <v/>
      </c>
      <c r="AZ6" s="62">
        <f>MAX(AR6:AV6)*AY6</f>
        <v/>
      </c>
      <c r="BA6" s="62">
        <f>AW6-AZ6</f>
        <v/>
      </c>
      <c r="BB6" s="65">
        <f>IFERROR(VLOOKUP($B$3,Table_engagements,2,FALSE),0)</f>
        <v/>
      </c>
      <c r="BC6" s="62">
        <f>BA6*BB6</f>
        <v/>
      </c>
      <c r="BD6" s="62">
        <f>BA6-BC6</f>
        <v/>
      </c>
      <c r="BE6" s="62">
        <f>BD6*12</f>
        <v/>
      </c>
      <c r="BF6" s="62">
        <f>IF(AO6&lt;Site_Mise_en_service_offerte_sous,0,BD6*Site_Mise_en_service_mois)</f>
        <v/>
      </c>
      <c r="BG6" s="62">
        <f>BF6+BE6*IF(N($B$3)&gt;0,$B$3,1)</f>
        <v/>
      </c>
      <c r="BH6" s="66">
        <f>IF(BG6&gt;=Seuil_3,"Procédure formalisée",IF(BG6&gt;=Seuil_2,"Publicité obligatoire",IF(BG6&gt;=Seuil_1,"Procédure adaptée","Sous les seuils")))</f>
        <v/>
      </c>
    </row>
    <row r="7">
      <c r="A7" s="15" t="inlineStr">
        <is>
          <t>Village</t>
        </is>
      </c>
      <c r="B7" s="14" t="n">
        <v>800</v>
      </c>
      <c r="C7" s="60">
        <f>U7</f>
        <v/>
      </c>
      <c r="D7" s="60">
        <f>W7*(1-AG7)</f>
        <v/>
      </c>
      <c r="E7" s="60">
        <f>X7*(1-AG7)</f>
        <v/>
      </c>
      <c r="F7" s="60">
        <f>Y7*(1-AG7)</f>
        <v/>
      </c>
      <c r="G7" s="60">
        <f>Z7*(1-AG7)</f>
        <v/>
      </c>
      <c r="H7" s="60">
        <f>AA7*(1-AG7)</f>
        <v/>
      </c>
      <c r="I7" s="47">
        <f>AI7</f>
        <v/>
      </c>
      <c r="J7" s="42">
        <f>AK7</f>
        <v/>
      </c>
      <c r="K7" s="42">
        <f>AL7</f>
        <v/>
      </c>
      <c r="L7" s="61">
        <f>AM7</f>
        <v/>
      </c>
      <c r="M7" s="16">
        <f>BD7</f>
        <v/>
      </c>
      <c r="N7" s="43">
        <f>AI7-BD7</f>
        <v/>
      </c>
      <c r="O7" s="53">
        <f>IF(BD7=0,0,AI7/BD7-1)</f>
        <v/>
      </c>
      <c r="T7" s="58">
        <f>MIN(Population_maximum,MAX(Population_minimum,ROUND($B7,0)))</f>
        <v/>
      </c>
      <c r="U7" s="62">
        <f>Prix_ancre*(T7/Population_ancre)^Exposant</f>
        <v/>
      </c>
      <c r="V7" s="63">
        <f>IF(T7&lt;=Chantiers_demi_poids_sous,Poids_chantiers/2,IF(T7&gt;=Chantiers_plein_poids_des,Poids_chantiers,Poids_chantiers*(0.5+0.5*(LN(T7)-LN(Chantiers_demi_poids_sous))/(LN(Chantiers_plein_poids_des)-LN(Chantiers_demi_poids_sous)))))</f>
        <v/>
      </c>
      <c r="W7" s="62">
        <f>U7*Poids_carte</f>
        <v/>
      </c>
      <c r="X7" s="62">
        <f>U7*Poids_travaux</f>
        <v/>
      </c>
      <c r="Y7" s="62">
        <f>U7*Poids_participer</f>
        <v/>
      </c>
      <c r="Z7" s="62">
        <f>U7*Poids_diagnostic</f>
        <v/>
      </c>
      <c r="AA7" s="62">
        <f>U7*V7</f>
        <v/>
      </c>
      <c r="AB7" s="62">
        <f>SUM(W7:AA7)</f>
        <v/>
      </c>
      <c r="AC7" s="64">
        <f>5</f>
        <v/>
      </c>
      <c r="AD7" s="65">
        <f>MIN(0.9,MAX(0,AC7-1)*Remise_par_module_ajoute)</f>
        <v/>
      </c>
      <c r="AE7" s="62">
        <f>MAX(W7:AA7)*AD7</f>
        <v/>
      </c>
      <c r="AF7" s="62">
        <f>AB7-AE7</f>
        <v/>
      </c>
      <c r="AG7" s="65">
        <f>IFERROR(VLOOKUP($B$3,Table_engagements,3,FALSE),0)</f>
        <v/>
      </c>
      <c r="AH7" s="62">
        <f>AF7*AG7</f>
        <v/>
      </c>
      <c r="AI7" s="62">
        <f>AF7-AH7</f>
        <v/>
      </c>
      <c r="AJ7" s="62">
        <f>AI7*12</f>
        <v/>
      </c>
      <c r="AK7" s="62">
        <f>IF(T7&lt;Mise_en_service_offerte_sous,0,AI7*Mise_en_service_mois)</f>
        <v/>
      </c>
      <c r="AL7" s="62">
        <f>AK7+AJ7*IF(N($B$3)&gt;0,$B$3,1)</f>
        <v/>
      </c>
      <c r="AM7" s="66">
        <f>IF(AL7&gt;=Seuil_3,"Procédure formalisée",IF(AL7&gt;=Seuil_2,"Publicité obligatoire",IF(AL7&gt;=Seuil_1,"Procédure adaptée","Sous les seuils")))</f>
        <v/>
      </c>
      <c r="AO7" s="58">
        <f>MIN(Site_Population_maximum,MAX(Site_Population_minimum,ROUND($B7,0)))</f>
        <v/>
      </c>
      <c r="AP7" s="62">
        <f>Site_Prix_ancre*(AO7/Site_Population_ancre)^Site_Exposant</f>
        <v/>
      </c>
      <c r="AQ7" s="63">
        <f>IF(AO7&lt;=Site_Chantiers_demi_poids_sous,Site_Poids_chantiers/2,IF(AO7&gt;=Site_Chantiers_plein_poids_des,Site_Poids_chantiers,Site_Poids_chantiers*(0.5+0.5*(LN(AO7)-LN(Site_Chantiers_demi_poids_sous))/(LN(Site_Chantiers_plein_poids_des)-LN(Site_Chantiers_demi_poids_sous)))))</f>
        <v/>
      </c>
      <c r="AR7" s="62">
        <f>AP7*Site_Poids_carte</f>
        <v/>
      </c>
      <c r="AS7" s="62">
        <f>AP7*Site_Poids_travaux</f>
        <v/>
      </c>
      <c r="AT7" s="62">
        <f>AP7*Site_Poids_participer</f>
        <v/>
      </c>
      <c r="AU7" s="62">
        <f>AP7*Site_Poids_diagnostic</f>
        <v/>
      </c>
      <c r="AV7" s="62">
        <f>AP7*AQ7</f>
        <v/>
      </c>
      <c r="AW7" s="62">
        <f>SUM(AR7:AV7)</f>
        <v/>
      </c>
      <c r="AX7" s="64">
        <f>5</f>
        <v/>
      </c>
      <c r="AY7" s="65">
        <f>MIN(0.9,MAX(0,AX7-1)*Site_Remise_par_module_ajoute)</f>
        <v/>
      </c>
      <c r="AZ7" s="62">
        <f>MAX(AR7:AV7)*AY7</f>
        <v/>
      </c>
      <c r="BA7" s="62">
        <f>AW7-AZ7</f>
        <v/>
      </c>
      <c r="BB7" s="65">
        <f>IFERROR(VLOOKUP($B$3,Table_engagements,2,FALSE),0)</f>
        <v/>
      </c>
      <c r="BC7" s="62">
        <f>BA7*BB7</f>
        <v/>
      </c>
      <c r="BD7" s="62">
        <f>BA7-BC7</f>
        <v/>
      </c>
      <c r="BE7" s="62">
        <f>BD7*12</f>
        <v/>
      </c>
      <c r="BF7" s="62">
        <f>IF(AO7&lt;Site_Mise_en_service_offerte_sous,0,BD7*Site_Mise_en_service_mois)</f>
        <v/>
      </c>
      <c r="BG7" s="62">
        <f>BF7+BE7*IF(N($B$3)&gt;0,$B$3,1)</f>
        <v/>
      </c>
      <c r="BH7" s="66">
        <f>IF(BG7&gt;=Seuil_3,"Procédure formalisée",IF(BG7&gt;=Seuil_2,"Publicité obligatoire",IF(BG7&gt;=Seuil_1,"Procédure adaptée","Sous les seuils")))</f>
        <v/>
      </c>
    </row>
    <row r="8">
      <c r="A8" s="15" t="inlineStr">
        <is>
          <t>Village</t>
        </is>
      </c>
      <c r="B8" s="14" t="n">
        <v>1500</v>
      </c>
      <c r="C8" s="60">
        <f>U8</f>
        <v/>
      </c>
      <c r="D8" s="60">
        <f>W8*(1-AG8)</f>
        <v/>
      </c>
      <c r="E8" s="60">
        <f>X8*(1-AG8)</f>
        <v/>
      </c>
      <c r="F8" s="60">
        <f>Y8*(1-AG8)</f>
        <v/>
      </c>
      <c r="G8" s="60">
        <f>Z8*(1-AG8)</f>
        <v/>
      </c>
      <c r="H8" s="60">
        <f>AA8*(1-AG8)</f>
        <v/>
      </c>
      <c r="I8" s="47">
        <f>AI8</f>
        <v/>
      </c>
      <c r="J8" s="42">
        <f>AK8</f>
        <v/>
      </c>
      <c r="K8" s="42">
        <f>AL8</f>
        <v/>
      </c>
      <c r="L8" s="61">
        <f>AM8</f>
        <v/>
      </c>
      <c r="M8" s="16">
        <f>BD8</f>
        <v/>
      </c>
      <c r="N8" s="43">
        <f>AI8-BD8</f>
        <v/>
      </c>
      <c r="O8" s="53">
        <f>IF(BD8=0,0,AI8/BD8-1)</f>
        <v/>
      </c>
      <c r="T8" s="58">
        <f>MIN(Population_maximum,MAX(Population_minimum,ROUND($B8,0)))</f>
        <v/>
      </c>
      <c r="U8" s="62">
        <f>Prix_ancre*(T8/Population_ancre)^Exposant</f>
        <v/>
      </c>
      <c r="V8" s="63">
        <f>IF(T8&lt;=Chantiers_demi_poids_sous,Poids_chantiers/2,IF(T8&gt;=Chantiers_plein_poids_des,Poids_chantiers,Poids_chantiers*(0.5+0.5*(LN(T8)-LN(Chantiers_demi_poids_sous))/(LN(Chantiers_plein_poids_des)-LN(Chantiers_demi_poids_sous)))))</f>
        <v/>
      </c>
      <c r="W8" s="62">
        <f>U8*Poids_carte</f>
        <v/>
      </c>
      <c r="X8" s="62">
        <f>U8*Poids_travaux</f>
        <v/>
      </c>
      <c r="Y8" s="62">
        <f>U8*Poids_participer</f>
        <v/>
      </c>
      <c r="Z8" s="62">
        <f>U8*Poids_diagnostic</f>
        <v/>
      </c>
      <c r="AA8" s="62">
        <f>U8*V8</f>
        <v/>
      </c>
      <c r="AB8" s="62">
        <f>SUM(W8:AA8)</f>
        <v/>
      </c>
      <c r="AC8" s="64">
        <f>5</f>
        <v/>
      </c>
      <c r="AD8" s="65">
        <f>MIN(0.9,MAX(0,AC8-1)*Remise_par_module_ajoute)</f>
        <v/>
      </c>
      <c r="AE8" s="62">
        <f>MAX(W8:AA8)*AD8</f>
        <v/>
      </c>
      <c r="AF8" s="62">
        <f>AB8-AE8</f>
        <v/>
      </c>
      <c r="AG8" s="65">
        <f>IFERROR(VLOOKUP($B$3,Table_engagements,3,FALSE),0)</f>
        <v/>
      </c>
      <c r="AH8" s="62">
        <f>AF8*AG8</f>
        <v/>
      </c>
      <c r="AI8" s="62">
        <f>AF8-AH8</f>
        <v/>
      </c>
      <c r="AJ8" s="62">
        <f>AI8*12</f>
        <v/>
      </c>
      <c r="AK8" s="62">
        <f>IF(T8&lt;Mise_en_service_offerte_sous,0,AI8*Mise_en_service_mois)</f>
        <v/>
      </c>
      <c r="AL8" s="62">
        <f>AK8+AJ8*IF(N($B$3)&gt;0,$B$3,1)</f>
        <v/>
      </c>
      <c r="AM8" s="66">
        <f>IF(AL8&gt;=Seuil_3,"Procédure formalisée",IF(AL8&gt;=Seuil_2,"Publicité obligatoire",IF(AL8&gt;=Seuil_1,"Procédure adaptée","Sous les seuils")))</f>
        <v/>
      </c>
      <c r="AO8" s="58">
        <f>MIN(Site_Population_maximum,MAX(Site_Population_minimum,ROUND($B8,0)))</f>
        <v/>
      </c>
      <c r="AP8" s="62">
        <f>Site_Prix_ancre*(AO8/Site_Population_ancre)^Site_Exposant</f>
        <v/>
      </c>
      <c r="AQ8" s="63">
        <f>IF(AO8&lt;=Site_Chantiers_demi_poids_sous,Site_Poids_chantiers/2,IF(AO8&gt;=Site_Chantiers_plein_poids_des,Site_Poids_chantiers,Site_Poids_chantiers*(0.5+0.5*(LN(AO8)-LN(Site_Chantiers_demi_poids_sous))/(LN(Site_Chantiers_plein_poids_des)-LN(Site_Chantiers_demi_poids_sous)))))</f>
        <v/>
      </c>
      <c r="AR8" s="62">
        <f>AP8*Site_Poids_carte</f>
        <v/>
      </c>
      <c r="AS8" s="62">
        <f>AP8*Site_Poids_travaux</f>
        <v/>
      </c>
      <c r="AT8" s="62">
        <f>AP8*Site_Poids_participer</f>
        <v/>
      </c>
      <c r="AU8" s="62">
        <f>AP8*Site_Poids_diagnostic</f>
        <v/>
      </c>
      <c r="AV8" s="62">
        <f>AP8*AQ8</f>
        <v/>
      </c>
      <c r="AW8" s="62">
        <f>SUM(AR8:AV8)</f>
        <v/>
      </c>
      <c r="AX8" s="64">
        <f>5</f>
        <v/>
      </c>
      <c r="AY8" s="65">
        <f>MIN(0.9,MAX(0,AX8-1)*Site_Remise_par_module_ajoute)</f>
        <v/>
      </c>
      <c r="AZ8" s="62">
        <f>MAX(AR8:AV8)*AY8</f>
        <v/>
      </c>
      <c r="BA8" s="62">
        <f>AW8-AZ8</f>
        <v/>
      </c>
      <c r="BB8" s="65">
        <f>IFERROR(VLOOKUP($B$3,Table_engagements,2,FALSE),0)</f>
        <v/>
      </c>
      <c r="BC8" s="62">
        <f>BA8*BB8</f>
        <v/>
      </c>
      <c r="BD8" s="62">
        <f>BA8-BC8</f>
        <v/>
      </c>
      <c r="BE8" s="62">
        <f>BD8*12</f>
        <v/>
      </c>
      <c r="BF8" s="62">
        <f>IF(AO8&lt;Site_Mise_en_service_offerte_sous,0,BD8*Site_Mise_en_service_mois)</f>
        <v/>
      </c>
      <c r="BG8" s="62">
        <f>BF8+BE8*IF(N($B$3)&gt;0,$B$3,1)</f>
        <v/>
      </c>
      <c r="BH8" s="66">
        <f>IF(BG8&gt;=Seuil_3,"Procédure formalisée",IF(BG8&gt;=Seuil_2,"Publicité obligatoire",IF(BG8&gt;=Seuil_1,"Procédure adaptée","Sous les seuils")))</f>
        <v/>
      </c>
    </row>
    <row r="9">
      <c r="A9" s="15" t="inlineStr">
        <is>
          <t>Bourg</t>
        </is>
      </c>
      <c r="B9" s="14" t="n">
        <v>3000</v>
      </c>
      <c r="C9" s="60">
        <f>U9</f>
        <v/>
      </c>
      <c r="D9" s="60">
        <f>W9*(1-AG9)</f>
        <v/>
      </c>
      <c r="E9" s="60">
        <f>X9*(1-AG9)</f>
        <v/>
      </c>
      <c r="F9" s="60">
        <f>Y9*(1-AG9)</f>
        <v/>
      </c>
      <c r="G9" s="60">
        <f>Z9*(1-AG9)</f>
        <v/>
      </c>
      <c r="H9" s="60">
        <f>AA9*(1-AG9)</f>
        <v/>
      </c>
      <c r="I9" s="47">
        <f>AI9</f>
        <v/>
      </c>
      <c r="J9" s="42">
        <f>AK9</f>
        <v/>
      </c>
      <c r="K9" s="42">
        <f>AL9</f>
        <v/>
      </c>
      <c r="L9" s="61">
        <f>AM9</f>
        <v/>
      </c>
      <c r="M9" s="16">
        <f>BD9</f>
        <v/>
      </c>
      <c r="N9" s="43">
        <f>AI9-BD9</f>
        <v/>
      </c>
      <c r="O9" s="53">
        <f>IF(BD9=0,0,AI9/BD9-1)</f>
        <v/>
      </c>
      <c r="T9" s="58">
        <f>MIN(Population_maximum,MAX(Population_minimum,ROUND($B9,0)))</f>
        <v/>
      </c>
      <c r="U9" s="62">
        <f>Prix_ancre*(T9/Population_ancre)^Exposant</f>
        <v/>
      </c>
      <c r="V9" s="63">
        <f>IF(T9&lt;=Chantiers_demi_poids_sous,Poids_chantiers/2,IF(T9&gt;=Chantiers_plein_poids_des,Poids_chantiers,Poids_chantiers*(0.5+0.5*(LN(T9)-LN(Chantiers_demi_poids_sous))/(LN(Chantiers_plein_poids_des)-LN(Chantiers_demi_poids_sous)))))</f>
        <v/>
      </c>
      <c r="W9" s="62">
        <f>U9*Poids_carte</f>
        <v/>
      </c>
      <c r="X9" s="62">
        <f>U9*Poids_travaux</f>
        <v/>
      </c>
      <c r="Y9" s="62">
        <f>U9*Poids_participer</f>
        <v/>
      </c>
      <c r="Z9" s="62">
        <f>U9*Poids_diagnostic</f>
        <v/>
      </c>
      <c r="AA9" s="62">
        <f>U9*V9</f>
        <v/>
      </c>
      <c r="AB9" s="62">
        <f>SUM(W9:AA9)</f>
        <v/>
      </c>
      <c r="AC9" s="64">
        <f>5</f>
        <v/>
      </c>
      <c r="AD9" s="65">
        <f>MIN(0.9,MAX(0,AC9-1)*Remise_par_module_ajoute)</f>
        <v/>
      </c>
      <c r="AE9" s="62">
        <f>MAX(W9:AA9)*AD9</f>
        <v/>
      </c>
      <c r="AF9" s="62">
        <f>AB9-AE9</f>
        <v/>
      </c>
      <c r="AG9" s="65">
        <f>IFERROR(VLOOKUP($B$3,Table_engagements,3,FALSE),0)</f>
        <v/>
      </c>
      <c r="AH9" s="62">
        <f>AF9*AG9</f>
        <v/>
      </c>
      <c r="AI9" s="62">
        <f>AF9-AH9</f>
        <v/>
      </c>
      <c r="AJ9" s="62">
        <f>AI9*12</f>
        <v/>
      </c>
      <c r="AK9" s="62">
        <f>IF(T9&lt;Mise_en_service_offerte_sous,0,AI9*Mise_en_service_mois)</f>
        <v/>
      </c>
      <c r="AL9" s="62">
        <f>AK9+AJ9*IF(N($B$3)&gt;0,$B$3,1)</f>
        <v/>
      </c>
      <c r="AM9" s="66">
        <f>IF(AL9&gt;=Seuil_3,"Procédure formalisée",IF(AL9&gt;=Seuil_2,"Publicité obligatoire",IF(AL9&gt;=Seuil_1,"Procédure adaptée","Sous les seuils")))</f>
        <v/>
      </c>
      <c r="AO9" s="58">
        <f>MIN(Site_Population_maximum,MAX(Site_Population_minimum,ROUND($B9,0)))</f>
        <v/>
      </c>
      <c r="AP9" s="62">
        <f>Site_Prix_ancre*(AO9/Site_Population_ancre)^Site_Exposant</f>
        <v/>
      </c>
      <c r="AQ9" s="63">
        <f>IF(AO9&lt;=Site_Chantiers_demi_poids_sous,Site_Poids_chantiers/2,IF(AO9&gt;=Site_Chantiers_plein_poids_des,Site_Poids_chantiers,Site_Poids_chantiers*(0.5+0.5*(LN(AO9)-LN(Site_Chantiers_demi_poids_sous))/(LN(Site_Chantiers_plein_poids_des)-LN(Site_Chantiers_demi_poids_sous)))))</f>
        <v/>
      </c>
      <c r="AR9" s="62">
        <f>AP9*Site_Poids_carte</f>
        <v/>
      </c>
      <c r="AS9" s="62">
        <f>AP9*Site_Poids_travaux</f>
        <v/>
      </c>
      <c r="AT9" s="62">
        <f>AP9*Site_Poids_participer</f>
        <v/>
      </c>
      <c r="AU9" s="62">
        <f>AP9*Site_Poids_diagnostic</f>
        <v/>
      </c>
      <c r="AV9" s="62">
        <f>AP9*AQ9</f>
        <v/>
      </c>
      <c r="AW9" s="62">
        <f>SUM(AR9:AV9)</f>
        <v/>
      </c>
      <c r="AX9" s="64">
        <f>5</f>
        <v/>
      </c>
      <c r="AY9" s="65">
        <f>MIN(0.9,MAX(0,AX9-1)*Site_Remise_par_module_ajoute)</f>
        <v/>
      </c>
      <c r="AZ9" s="62">
        <f>MAX(AR9:AV9)*AY9</f>
        <v/>
      </c>
      <c r="BA9" s="62">
        <f>AW9-AZ9</f>
        <v/>
      </c>
      <c r="BB9" s="65">
        <f>IFERROR(VLOOKUP($B$3,Table_engagements,2,FALSE),0)</f>
        <v/>
      </c>
      <c r="BC9" s="62">
        <f>BA9*BB9</f>
        <v/>
      </c>
      <c r="BD9" s="62">
        <f>BA9-BC9</f>
        <v/>
      </c>
      <c r="BE9" s="62">
        <f>BD9*12</f>
        <v/>
      </c>
      <c r="BF9" s="62">
        <f>IF(AO9&lt;Site_Mise_en_service_offerte_sous,0,BD9*Site_Mise_en_service_mois)</f>
        <v/>
      </c>
      <c r="BG9" s="62">
        <f>BF9+BE9*IF(N($B$3)&gt;0,$B$3,1)</f>
        <v/>
      </c>
      <c r="BH9" s="66">
        <f>IF(BG9&gt;=Seuil_3,"Procédure formalisée",IF(BG9&gt;=Seuil_2,"Publicité obligatoire",IF(BG9&gt;=Seuil_1,"Procédure adaptée","Sous les seuils")))</f>
        <v/>
      </c>
    </row>
    <row r="10">
      <c r="A10" s="15" t="inlineStr">
        <is>
          <t>Bourg</t>
        </is>
      </c>
      <c r="B10" s="14" t="n">
        <v>5000</v>
      </c>
      <c r="C10" s="60">
        <f>U10</f>
        <v/>
      </c>
      <c r="D10" s="60">
        <f>W10*(1-AG10)</f>
        <v/>
      </c>
      <c r="E10" s="60">
        <f>X10*(1-AG10)</f>
        <v/>
      </c>
      <c r="F10" s="60">
        <f>Y10*(1-AG10)</f>
        <v/>
      </c>
      <c r="G10" s="60">
        <f>Z10*(1-AG10)</f>
        <v/>
      </c>
      <c r="H10" s="60">
        <f>AA10*(1-AG10)</f>
        <v/>
      </c>
      <c r="I10" s="47">
        <f>AI10</f>
        <v/>
      </c>
      <c r="J10" s="42">
        <f>AK10</f>
        <v/>
      </c>
      <c r="K10" s="42">
        <f>AL10</f>
        <v/>
      </c>
      <c r="L10" s="61">
        <f>AM10</f>
        <v/>
      </c>
      <c r="M10" s="16">
        <f>BD10</f>
        <v/>
      </c>
      <c r="N10" s="43">
        <f>AI10-BD10</f>
        <v/>
      </c>
      <c r="O10" s="53">
        <f>IF(BD10=0,0,AI10/BD10-1)</f>
        <v/>
      </c>
      <c r="T10" s="58">
        <f>MIN(Population_maximum,MAX(Population_minimum,ROUND($B10,0)))</f>
        <v/>
      </c>
      <c r="U10" s="62">
        <f>Prix_ancre*(T10/Population_ancre)^Exposant</f>
        <v/>
      </c>
      <c r="V10" s="63">
        <f>IF(T10&lt;=Chantiers_demi_poids_sous,Poids_chantiers/2,IF(T10&gt;=Chantiers_plein_poids_des,Poids_chantiers,Poids_chantiers*(0.5+0.5*(LN(T10)-LN(Chantiers_demi_poids_sous))/(LN(Chantiers_plein_poids_des)-LN(Chantiers_demi_poids_sous)))))</f>
        <v/>
      </c>
      <c r="W10" s="62">
        <f>U10*Poids_carte</f>
        <v/>
      </c>
      <c r="X10" s="62">
        <f>U10*Poids_travaux</f>
        <v/>
      </c>
      <c r="Y10" s="62">
        <f>U10*Poids_participer</f>
        <v/>
      </c>
      <c r="Z10" s="62">
        <f>U10*Poids_diagnostic</f>
        <v/>
      </c>
      <c r="AA10" s="62">
        <f>U10*V10</f>
        <v/>
      </c>
      <c r="AB10" s="62">
        <f>SUM(W10:AA10)</f>
        <v/>
      </c>
      <c r="AC10" s="64">
        <f>5</f>
        <v/>
      </c>
      <c r="AD10" s="65">
        <f>MIN(0.9,MAX(0,AC10-1)*Remise_par_module_ajoute)</f>
        <v/>
      </c>
      <c r="AE10" s="62">
        <f>MAX(W10:AA10)*AD10</f>
        <v/>
      </c>
      <c r="AF10" s="62">
        <f>AB10-AE10</f>
        <v/>
      </c>
      <c r="AG10" s="65">
        <f>IFERROR(VLOOKUP($B$3,Table_engagements,3,FALSE),0)</f>
        <v/>
      </c>
      <c r="AH10" s="62">
        <f>AF10*AG10</f>
        <v/>
      </c>
      <c r="AI10" s="62">
        <f>AF10-AH10</f>
        <v/>
      </c>
      <c r="AJ10" s="62">
        <f>AI10*12</f>
        <v/>
      </c>
      <c r="AK10" s="62">
        <f>IF(T10&lt;Mise_en_service_offerte_sous,0,AI10*Mise_en_service_mois)</f>
        <v/>
      </c>
      <c r="AL10" s="62">
        <f>AK10+AJ10*IF(N($B$3)&gt;0,$B$3,1)</f>
        <v/>
      </c>
      <c r="AM10" s="66">
        <f>IF(AL10&gt;=Seuil_3,"Procédure formalisée",IF(AL10&gt;=Seuil_2,"Publicité obligatoire",IF(AL10&gt;=Seuil_1,"Procédure adaptée","Sous les seuils")))</f>
        <v/>
      </c>
      <c r="AO10" s="58">
        <f>MIN(Site_Population_maximum,MAX(Site_Population_minimum,ROUND($B10,0)))</f>
        <v/>
      </c>
      <c r="AP10" s="62">
        <f>Site_Prix_ancre*(AO10/Site_Population_ancre)^Site_Exposant</f>
        <v/>
      </c>
      <c r="AQ10" s="63">
        <f>IF(AO10&lt;=Site_Chantiers_demi_poids_sous,Site_Poids_chantiers/2,IF(AO10&gt;=Site_Chantiers_plein_poids_des,Site_Poids_chantiers,Site_Poids_chantiers*(0.5+0.5*(LN(AO10)-LN(Site_Chantiers_demi_poids_sous))/(LN(Site_Chantiers_plein_poids_des)-LN(Site_Chantiers_demi_poids_sous)))))</f>
        <v/>
      </c>
      <c r="AR10" s="62">
        <f>AP10*Site_Poids_carte</f>
        <v/>
      </c>
      <c r="AS10" s="62">
        <f>AP10*Site_Poids_travaux</f>
        <v/>
      </c>
      <c r="AT10" s="62">
        <f>AP10*Site_Poids_participer</f>
        <v/>
      </c>
      <c r="AU10" s="62">
        <f>AP10*Site_Poids_diagnostic</f>
        <v/>
      </c>
      <c r="AV10" s="62">
        <f>AP10*AQ10</f>
        <v/>
      </c>
      <c r="AW10" s="62">
        <f>SUM(AR10:AV10)</f>
        <v/>
      </c>
      <c r="AX10" s="64">
        <f>5</f>
        <v/>
      </c>
      <c r="AY10" s="65">
        <f>MIN(0.9,MAX(0,AX10-1)*Site_Remise_par_module_ajoute)</f>
        <v/>
      </c>
      <c r="AZ10" s="62">
        <f>MAX(AR10:AV10)*AY10</f>
        <v/>
      </c>
      <c r="BA10" s="62">
        <f>AW10-AZ10</f>
        <v/>
      </c>
      <c r="BB10" s="65">
        <f>IFERROR(VLOOKUP($B$3,Table_engagements,2,FALSE),0)</f>
        <v/>
      </c>
      <c r="BC10" s="62">
        <f>BA10*BB10</f>
        <v/>
      </c>
      <c r="BD10" s="62">
        <f>BA10-BC10</f>
        <v/>
      </c>
      <c r="BE10" s="62">
        <f>BD10*12</f>
        <v/>
      </c>
      <c r="BF10" s="62">
        <f>IF(AO10&lt;Site_Mise_en_service_offerte_sous,0,BD10*Site_Mise_en_service_mois)</f>
        <v/>
      </c>
      <c r="BG10" s="62">
        <f>BF10+BE10*IF(N($B$3)&gt;0,$B$3,1)</f>
        <v/>
      </c>
      <c r="BH10" s="66">
        <f>IF(BG10&gt;=Seuil_3,"Procédure formalisée",IF(BG10&gt;=Seuil_2,"Publicité obligatoire",IF(BG10&gt;=Seuil_1,"Procédure adaptée","Sous les seuils")))</f>
        <v/>
      </c>
    </row>
    <row r="11">
      <c r="A11" s="15" t="inlineStr">
        <is>
          <t>Petite ville</t>
        </is>
      </c>
      <c r="B11" s="14" t="n">
        <v>8000</v>
      </c>
      <c r="C11" s="60">
        <f>U11</f>
        <v/>
      </c>
      <c r="D11" s="60">
        <f>W11*(1-AG11)</f>
        <v/>
      </c>
      <c r="E11" s="60">
        <f>X11*(1-AG11)</f>
        <v/>
      </c>
      <c r="F11" s="60">
        <f>Y11*(1-AG11)</f>
        <v/>
      </c>
      <c r="G11" s="60">
        <f>Z11*(1-AG11)</f>
        <v/>
      </c>
      <c r="H11" s="60">
        <f>AA11*(1-AG11)</f>
        <v/>
      </c>
      <c r="I11" s="47">
        <f>AI11</f>
        <v/>
      </c>
      <c r="J11" s="42">
        <f>AK11</f>
        <v/>
      </c>
      <c r="K11" s="42">
        <f>AL11</f>
        <v/>
      </c>
      <c r="L11" s="61">
        <f>AM11</f>
        <v/>
      </c>
      <c r="M11" s="16">
        <f>BD11</f>
        <v/>
      </c>
      <c r="N11" s="43">
        <f>AI11-BD11</f>
        <v/>
      </c>
      <c r="O11" s="53">
        <f>IF(BD11=0,0,AI11/BD11-1)</f>
        <v/>
      </c>
      <c r="T11" s="58">
        <f>MIN(Population_maximum,MAX(Population_minimum,ROUND($B11,0)))</f>
        <v/>
      </c>
      <c r="U11" s="62">
        <f>Prix_ancre*(T11/Population_ancre)^Exposant</f>
        <v/>
      </c>
      <c r="V11" s="63">
        <f>IF(T11&lt;=Chantiers_demi_poids_sous,Poids_chantiers/2,IF(T11&gt;=Chantiers_plein_poids_des,Poids_chantiers,Poids_chantiers*(0.5+0.5*(LN(T11)-LN(Chantiers_demi_poids_sous))/(LN(Chantiers_plein_poids_des)-LN(Chantiers_demi_poids_sous)))))</f>
        <v/>
      </c>
      <c r="W11" s="62">
        <f>U11*Poids_carte</f>
        <v/>
      </c>
      <c r="X11" s="62">
        <f>U11*Poids_travaux</f>
        <v/>
      </c>
      <c r="Y11" s="62">
        <f>U11*Poids_participer</f>
        <v/>
      </c>
      <c r="Z11" s="62">
        <f>U11*Poids_diagnostic</f>
        <v/>
      </c>
      <c r="AA11" s="62">
        <f>U11*V11</f>
        <v/>
      </c>
      <c r="AB11" s="62">
        <f>SUM(W11:AA11)</f>
        <v/>
      </c>
      <c r="AC11" s="64">
        <f>5</f>
        <v/>
      </c>
      <c r="AD11" s="65">
        <f>MIN(0.9,MAX(0,AC11-1)*Remise_par_module_ajoute)</f>
        <v/>
      </c>
      <c r="AE11" s="62">
        <f>MAX(W11:AA11)*AD11</f>
        <v/>
      </c>
      <c r="AF11" s="62">
        <f>AB11-AE11</f>
        <v/>
      </c>
      <c r="AG11" s="65">
        <f>IFERROR(VLOOKUP($B$3,Table_engagements,3,FALSE),0)</f>
        <v/>
      </c>
      <c r="AH11" s="62">
        <f>AF11*AG11</f>
        <v/>
      </c>
      <c r="AI11" s="62">
        <f>AF11-AH11</f>
        <v/>
      </c>
      <c r="AJ11" s="62">
        <f>AI11*12</f>
        <v/>
      </c>
      <c r="AK11" s="62">
        <f>IF(T11&lt;Mise_en_service_offerte_sous,0,AI11*Mise_en_service_mois)</f>
        <v/>
      </c>
      <c r="AL11" s="62">
        <f>AK11+AJ11*IF(N($B$3)&gt;0,$B$3,1)</f>
        <v/>
      </c>
      <c r="AM11" s="66">
        <f>IF(AL11&gt;=Seuil_3,"Procédure formalisée",IF(AL11&gt;=Seuil_2,"Publicité obligatoire",IF(AL11&gt;=Seuil_1,"Procédure adaptée","Sous les seuils")))</f>
        <v/>
      </c>
      <c r="AO11" s="58">
        <f>MIN(Site_Population_maximum,MAX(Site_Population_minimum,ROUND($B11,0)))</f>
        <v/>
      </c>
      <c r="AP11" s="62">
        <f>Site_Prix_ancre*(AO11/Site_Population_ancre)^Site_Exposant</f>
        <v/>
      </c>
      <c r="AQ11" s="63">
        <f>IF(AO11&lt;=Site_Chantiers_demi_poids_sous,Site_Poids_chantiers/2,IF(AO11&gt;=Site_Chantiers_plein_poids_des,Site_Poids_chantiers,Site_Poids_chantiers*(0.5+0.5*(LN(AO11)-LN(Site_Chantiers_demi_poids_sous))/(LN(Site_Chantiers_plein_poids_des)-LN(Site_Chantiers_demi_poids_sous)))))</f>
        <v/>
      </c>
      <c r="AR11" s="62">
        <f>AP11*Site_Poids_carte</f>
        <v/>
      </c>
      <c r="AS11" s="62">
        <f>AP11*Site_Poids_travaux</f>
        <v/>
      </c>
      <c r="AT11" s="62">
        <f>AP11*Site_Poids_participer</f>
        <v/>
      </c>
      <c r="AU11" s="62">
        <f>AP11*Site_Poids_diagnostic</f>
        <v/>
      </c>
      <c r="AV11" s="62">
        <f>AP11*AQ11</f>
        <v/>
      </c>
      <c r="AW11" s="62">
        <f>SUM(AR11:AV11)</f>
        <v/>
      </c>
      <c r="AX11" s="64">
        <f>5</f>
        <v/>
      </c>
      <c r="AY11" s="65">
        <f>MIN(0.9,MAX(0,AX11-1)*Site_Remise_par_module_ajoute)</f>
        <v/>
      </c>
      <c r="AZ11" s="62">
        <f>MAX(AR11:AV11)*AY11</f>
        <v/>
      </c>
      <c r="BA11" s="62">
        <f>AW11-AZ11</f>
        <v/>
      </c>
      <c r="BB11" s="65">
        <f>IFERROR(VLOOKUP($B$3,Table_engagements,2,FALSE),0)</f>
        <v/>
      </c>
      <c r="BC11" s="62">
        <f>BA11*BB11</f>
        <v/>
      </c>
      <c r="BD11" s="62">
        <f>BA11-BC11</f>
        <v/>
      </c>
      <c r="BE11" s="62">
        <f>BD11*12</f>
        <v/>
      </c>
      <c r="BF11" s="62">
        <f>IF(AO11&lt;Site_Mise_en_service_offerte_sous,0,BD11*Site_Mise_en_service_mois)</f>
        <v/>
      </c>
      <c r="BG11" s="62">
        <f>BF11+BE11*IF(N($B$3)&gt;0,$B$3,1)</f>
        <v/>
      </c>
      <c r="BH11" s="66">
        <f>IF(BG11&gt;=Seuil_3,"Procédure formalisée",IF(BG11&gt;=Seuil_2,"Publicité obligatoire",IF(BG11&gt;=Seuil_1,"Procédure adaptée","Sous les seuils")))</f>
        <v/>
      </c>
    </row>
    <row r="12">
      <c r="A12" s="15" t="inlineStr">
        <is>
          <t>Petite ville</t>
        </is>
      </c>
      <c r="B12" s="14" t="n">
        <v>12000</v>
      </c>
      <c r="C12" s="60">
        <f>U12</f>
        <v/>
      </c>
      <c r="D12" s="60">
        <f>W12*(1-AG12)</f>
        <v/>
      </c>
      <c r="E12" s="60">
        <f>X12*(1-AG12)</f>
        <v/>
      </c>
      <c r="F12" s="60">
        <f>Y12*(1-AG12)</f>
        <v/>
      </c>
      <c r="G12" s="60">
        <f>Z12*(1-AG12)</f>
        <v/>
      </c>
      <c r="H12" s="60">
        <f>AA12*(1-AG12)</f>
        <v/>
      </c>
      <c r="I12" s="47">
        <f>AI12</f>
        <v/>
      </c>
      <c r="J12" s="42">
        <f>AK12</f>
        <v/>
      </c>
      <c r="K12" s="42">
        <f>AL12</f>
        <v/>
      </c>
      <c r="L12" s="61">
        <f>AM12</f>
        <v/>
      </c>
      <c r="M12" s="16">
        <f>BD12</f>
        <v/>
      </c>
      <c r="N12" s="43">
        <f>AI12-BD12</f>
        <v/>
      </c>
      <c r="O12" s="53">
        <f>IF(BD12=0,0,AI12/BD12-1)</f>
        <v/>
      </c>
      <c r="T12" s="58">
        <f>MIN(Population_maximum,MAX(Population_minimum,ROUND($B12,0)))</f>
        <v/>
      </c>
      <c r="U12" s="62">
        <f>Prix_ancre*(T12/Population_ancre)^Exposant</f>
        <v/>
      </c>
      <c r="V12" s="63">
        <f>IF(T12&lt;=Chantiers_demi_poids_sous,Poids_chantiers/2,IF(T12&gt;=Chantiers_plein_poids_des,Poids_chantiers,Poids_chantiers*(0.5+0.5*(LN(T12)-LN(Chantiers_demi_poids_sous))/(LN(Chantiers_plein_poids_des)-LN(Chantiers_demi_poids_sous)))))</f>
        <v/>
      </c>
      <c r="W12" s="62">
        <f>U12*Poids_carte</f>
        <v/>
      </c>
      <c r="X12" s="62">
        <f>U12*Poids_travaux</f>
        <v/>
      </c>
      <c r="Y12" s="62">
        <f>U12*Poids_participer</f>
        <v/>
      </c>
      <c r="Z12" s="62">
        <f>U12*Poids_diagnostic</f>
        <v/>
      </c>
      <c r="AA12" s="62">
        <f>U12*V12</f>
        <v/>
      </c>
      <c r="AB12" s="62">
        <f>SUM(W12:AA12)</f>
        <v/>
      </c>
      <c r="AC12" s="64">
        <f>5</f>
        <v/>
      </c>
      <c r="AD12" s="65">
        <f>MIN(0.9,MAX(0,AC12-1)*Remise_par_module_ajoute)</f>
        <v/>
      </c>
      <c r="AE12" s="62">
        <f>MAX(W12:AA12)*AD12</f>
        <v/>
      </c>
      <c r="AF12" s="62">
        <f>AB12-AE12</f>
        <v/>
      </c>
      <c r="AG12" s="65">
        <f>IFERROR(VLOOKUP($B$3,Table_engagements,3,FALSE),0)</f>
        <v/>
      </c>
      <c r="AH12" s="62">
        <f>AF12*AG12</f>
        <v/>
      </c>
      <c r="AI12" s="62">
        <f>AF12-AH12</f>
        <v/>
      </c>
      <c r="AJ12" s="62">
        <f>AI12*12</f>
        <v/>
      </c>
      <c r="AK12" s="62">
        <f>IF(T12&lt;Mise_en_service_offerte_sous,0,AI12*Mise_en_service_mois)</f>
        <v/>
      </c>
      <c r="AL12" s="62">
        <f>AK12+AJ12*IF(N($B$3)&gt;0,$B$3,1)</f>
        <v/>
      </c>
      <c r="AM12" s="66">
        <f>IF(AL12&gt;=Seuil_3,"Procédure formalisée",IF(AL12&gt;=Seuil_2,"Publicité obligatoire",IF(AL12&gt;=Seuil_1,"Procédure adaptée","Sous les seuils")))</f>
        <v/>
      </c>
      <c r="AO12" s="58">
        <f>MIN(Site_Population_maximum,MAX(Site_Population_minimum,ROUND($B12,0)))</f>
        <v/>
      </c>
      <c r="AP12" s="62">
        <f>Site_Prix_ancre*(AO12/Site_Population_ancre)^Site_Exposant</f>
        <v/>
      </c>
      <c r="AQ12" s="63">
        <f>IF(AO12&lt;=Site_Chantiers_demi_poids_sous,Site_Poids_chantiers/2,IF(AO12&gt;=Site_Chantiers_plein_poids_des,Site_Poids_chantiers,Site_Poids_chantiers*(0.5+0.5*(LN(AO12)-LN(Site_Chantiers_demi_poids_sous))/(LN(Site_Chantiers_plein_poids_des)-LN(Site_Chantiers_demi_poids_sous)))))</f>
        <v/>
      </c>
      <c r="AR12" s="62">
        <f>AP12*Site_Poids_carte</f>
        <v/>
      </c>
      <c r="AS12" s="62">
        <f>AP12*Site_Poids_travaux</f>
        <v/>
      </c>
      <c r="AT12" s="62">
        <f>AP12*Site_Poids_participer</f>
        <v/>
      </c>
      <c r="AU12" s="62">
        <f>AP12*Site_Poids_diagnostic</f>
        <v/>
      </c>
      <c r="AV12" s="62">
        <f>AP12*AQ12</f>
        <v/>
      </c>
      <c r="AW12" s="62">
        <f>SUM(AR12:AV12)</f>
        <v/>
      </c>
      <c r="AX12" s="64">
        <f>5</f>
        <v/>
      </c>
      <c r="AY12" s="65">
        <f>MIN(0.9,MAX(0,AX12-1)*Site_Remise_par_module_ajoute)</f>
        <v/>
      </c>
      <c r="AZ12" s="62">
        <f>MAX(AR12:AV12)*AY12</f>
        <v/>
      </c>
      <c r="BA12" s="62">
        <f>AW12-AZ12</f>
        <v/>
      </c>
      <c r="BB12" s="65">
        <f>IFERROR(VLOOKUP($B$3,Table_engagements,2,FALSE),0)</f>
        <v/>
      </c>
      <c r="BC12" s="62">
        <f>BA12*BB12</f>
        <v/>
      </c>
      <c r="BD12" s="62">
        <f>BA12-BC12</f>
        <v/>
      </c>
      <c r="BE12" s="62">
        <f>BD12*12</f>
        <v/>
      </c>
      <c r="BF12" s="62">
        <f>IF(AO12&lt;Site_Mise_en_service_offerte_sous,0,BD12*Site_Mise_en_service_mois)</f>
        <v/>
      </c>
      <c r="BG12" s="62">
        <f>BF12+BE12*IF(N($B$3)&gt;0,$B$3,1)</f>
        <v/>
      </c>
      <c r="BH12" s="66">
        <f>IF(BG12&gt;=Seuil_3,"Procédure formalisée",IF(BG12&gt;=Seuil_2,"Publicité obligatoire",IF(BG12&gt;=Seuil_1,"Procédure adaptée","Sous les seuils")))</f>
        <v/>
      </c>
    </row>
    <row r="13">
      <c r="A13" s="15" t="inlineStr">
        <is>
          <t>Petite ville</t>
        </is>
      </c>
      <c r="B13" s="14" t="n">
        <v>20000</v>
      </c>
      <c r="C13" s="60">
        <f>U13</f>
        <v/>
      </c>
      <c r="D13" s="60">
        <f>W13*(1-AG13)</f>
        <v/>
      </c>
      <c r="E13" s="60">
        <f>X13*(1-AG13)</f>
        <v/>
      </c>
      <c r="F13" s="60">
        <f>Y13*(1-AG13)</f>
        <v/>
      </c>
      <c r="G13" s="60">
        <f>Z13*(1-AG13)</f>
        <v/>
      </c>
      <c r="H13" s="60">
        <f>AA13*(1-AG13)</f>
        <v/>
      </c>
      <c r="I13" s="47">
        <f>AI13</f>
        <v/>
      </c>
      <c r="J13" s="42">
        <f>AK13</f>
        <v/>
      </c>
      <c r="K13" s="42">
        <f>AL13</f>
        <v/>
      </c>
      <c r="L13" s="61">
        <f>AM13</f>
        <v/>
      </c>
      <c r="M13" s="16">
        <f>BD13</f>
        <v/>
      </c>
      <c r="N13" s="43">
        <f>AI13-BD13</f>
        <v/>
      </c>
      <c r="O13" s="53">
        <f>IF(BD13=0,0,AI13/BD13-1)</f>
        <v/>
      </c>
      <c r="T13" s="58">
        <f>MIN(Population_maximum,MAX(Population_minimum,ROUND($B13,0)))</f>
        <v/>
      </c>
      <c r="U13" s="62">
        <f>Prix_ancre*(T13/Population_ancre)^Exposant</f>
        <v/>
      </c>
      <c r="V13" s="63">
        <f>IF(T13&lt;=Chantiers_demi_poids_sous,Poids_chantiers/2,IF(T13&gt;=Chantiers_plein_poids_des,Poids_chantiers,Poids_chantiers*(0.5+0.5*(LN(T13)-LN(Chantiers_demi_poids_sous))/(LN(Chantiers_plein_poids_des)-LN(Chantiers_demi_poids_sous)))))</f>
        <v/>
      </c>
      <c r="W13" s="62">
        <f>U13*Poids_carte</f>
        <v/>
      </c>
      <c r="X13" s="62">
        <f>U13*Poids_travaux</f>
        <v/>
      </c>
      <c r="Y13" s="62">
        <f>U13*Poids_participer</f>
        <v/>
      </c>
      <c r="Z13" s="62">
        <f>U13*Poids_diagnostic</f>
        <v/>
      </c>
      <c r="AA13" s="62">
        <f>U13*V13</f>
        <v/>
      </c>
      <c r="AB13" s="62">
        <f>SUM(W13:AA13)</f>
        <v/>
      </c>
      <c r="AC13" s="64">
        <f>5</f>
        <v/>
      </c>
      <c r="AD13" s="65">
        <f>MIN(0.9,MAX(0,AC13-1)*Remise_par_module_ajoute)</f>
        <v/>
      </c>
      <c r="AE13" s="62">
        <f>MAX(W13:AA13)*AD13</f>
        <v/>
      </c>
      <c r="AF13" s="62">
        <f>AB13-AE13</f>
        <v/>
      </c>
      <c r="AG13" s="65">
        <f>IFERROR(VLOOKUP($B$3,Table_engagements,3,FALSE),0)</f>
        <v/>
      </c>
      <c r="AH13" s="62">
        <f>AF13*AG13</f>
        <v/>
      </c>
      <c r="AI13" s="62">
        <f>AF13-AH13</f>
        <v/>
      </c>
      <c r="AJ13" s="62">
        <f>AI13*12</f>
        <v/>
      </c>
      <c r="AK13" s="62">
        <f>IF(T13&lt;Mise_en_service_offerte_sous,0,AI13*Mise_en_service_mois)</f>
        <v/>
      </c>
      <c r="AL13" s="62">
        <f>AK13+AJ13*IF(N($B$3)&gt;0,$B$3,1)</f>
        <v/>
      </c>
      <c r="AM13" s="66">
        <f>IF(AL13&gt;=Seuil_3,"Procédure formalisée",IF(AL13&gt;=Seuil_2,"Publicité obligatoire",IF(AL13&gt;=Seuil_1,"Procédure adaptée","Sous les seuils")))</f>
        <v/>
      </c>
      <c r="AO13" s="58">
        <f>MIN(Site_Population_maximum,MAX(Site_Population_minimum,ROUND($B13,0)))</f>
        <v/>
      </c>
      <c r="AP13" s="62">
        <f>Site_Prix_ancre*(AO13/Site_Population_ancre)^Site_Exposant</f>
        <v/>
      </c>
      <c r="AQ13" s="63">
        <f>IF(AO13&lt;=Site_Chantiers_demi_poids_sous,Site_Poids_chantiers/2,IF(AO13&gt;=Site_Chantiers_plein_poids_des,Site_Poids_chantiers,Site_Poids_chantiers*(0.5+0.5*(LN(AO13)-LN(Site_Chantiers_demi_poids_sous))/(LN(Site_Chantiers_plein_poids_des)-LN(Site_Chantiers_demi_poids_sous)))))</f>
        <v/>
      </c>
      <c r="AR13" s="62">
        <f>AP13*Site_Poids_carte</f>
        <v/>
      </c>
      <c r="AS13" s="62">
        <f>AP13*Site_Poids_travaux</f>
        <v/>
      </c>
      <c r="AT13" s="62">
        <f>AP13*Site_Poids_participer</f>
        <v/>
      </c>
      <c r="AU13" s="62">
        <f>AP13*Site_Poids_diagnostic</f>
        <v/>
      </c>
      <c r="AV13" s="62">
        <f>AP13*AQ13</f>
        <v/>
      </c>
      <c r="AW13" s="62">
        <f>SUM(AR13:AV13)</f>
        <v/>
      </c>
      <c r="AX13" s="64">
        <f>5</f>
        <v/>
      </c>
      <c r="AY13" s="65">
        <f>MIN(0.9,MAX(0,AX13-1)*Site_Remise_par_module_ajoute)</f>
        <v/>
      </c>
      <c r="AZ13" s="62">
        <f>MAX(AR13:AV13)*AY13</f>
        <v/>
      </c>
      <c r="BA13" s="62">
        <f>AW13-AZ13</f>
        <v/>
      </c>
      <c r="BB13" s="65">
        <f>IFERROR(VLOOKUP($B$3,Table_engagements,2,FALSE),0)</f>
        <v/>
      </c>
      <c r="BC13" s="62">
        <f>BA13*BB13</f>
        <v/>
      </c>
      <c r="BD13" s="62">
        <f>BA13-BC13</f>
        <v/>
      </c>
      <c r="BE13" s="62">
        <f>BD13*12</f>
        <v/>
      </c>
      <c r="BF13" s="62">
        <f>IF(AO13&lt;Site_Mise_en_service_offerte_sous,0,BD13*Site_Mise_en_service_mois)</f>
        <v/>
      </c>
      <c r="BG13" s="62">
        <f>BF13+BE13*IF(N($B$3)&gt;0,$B$3,1)</f>
        <v/>
      </c>
      <c r="BH13" s="66">
        <f>IF(BG13&gt;=Seuil_3,"Procédure formalisée",IF(BG13&gt;=Seuil_2,"Publicité obligatoire",IF(BG13&gt;=Seuil_1,"Procédure adaptée","Sous les seuils")))</f>
        <v/>
      </c>
    </row>
    <row r="14">
      <c r="A14" s="15" t="inlineStr">
        <is>
          <t>Ville moyenne</t>
        </is>
      </c>
      <c r="B14" s="14" t="n">
        <v>35000</v>
      </c>
      <c r="C14" s="60">
        <f>U14</f>
        <v/>
      </c>
      <c r="D14" s="60">
        <f>W14*(1-AG14)</f>
        <v/>
      </c>
      <c r="E14" s="60">
        <f>X14*(1-AG14)</f>
        <v/>
      </c>
      <c r="F14" s="60">
        <f>Y14*(1-AG14)</f>
        <v/>
      </c>
      <c r="G14" s="60">
        <f>Z14*(1-AG14)</f>
        <v/>
      </c>
      <c r="H14" s="60">
        <f>AA14*(1-AG14)</f>
        <v/>
      </c>
      <c r="I14" s="47">
        <f>AI14</f>
        <v/>
      </c>
      <c r="J14" s="42">
        <f>AK14</f>
        <v/>
      </c>
      <c r="K14" s="42">
        <f>AL14</f>
        <v/>
      </c>
      <c r="L14" s="61">
        <f>AM14</f>
        <v/>
      </c>
      <c r="M14" s="16">
        <f>BD14</f>
        <v/>
      </c>
      <c r="N14" s="43">
        <f>AI14-BD14</f>
        <v/>
      </c>
      <c r="O14" s="53">
        <f>IF(BD14=0,0,AI14/BD14-1)</f>
        <v/>
      </c>
      <c r="T14" s="58">
        <f>MIN(Population_maximum,MAX(Population_minimum,ROUND($B14,0)))</f>
        <v/>
      </c>
      <c r="U14" s="62">
        <f>Prix_ancre*(T14/Population_ancre)^Exposant</f>
        <v/>
      </c>
      <c r="V14" s="63">
        <f>IF(T14&lt;=Chantiers_demi_poids_sous,Poids_chantiers/2,IF(T14&gt;=Chantiers_plein_poids_des,Poids_chantiers,Poids_chantiers*(0.5+0.5*(LN(T14)-LN(Chantiers_demi_poids_sous))/(LN(Chantiers_plein_poids_des)-LN(Chantiers_demi_poids_sous)))))</f>
        <v/>
      </c>
      <c r="W14" s="62">
        <f>U14*Poids_carte</f>
        <v/>
      </c>
      <c r="X14" s="62">
        <f>U14*Poids_travaux</f>
        <v/>
      </c>
      <c r="Y14" s="62">
        <f>U14*Poids_participer</f>
        <v/>
      </c>
      <c r="Z14" s="62">
        <f>U14*Poids_diagnostic</f>
        <v/>
      </c>
      <c r="AA14" s="62">
        <f>U14*V14</f>
        <v/>
      </c>
      <c r="AB14" s="62">
        <f>SUM(W14:AA14)</f>
        <v/>
      </c>
      <c r="AC14" s="64">
        <f>5</f>
        <v/>
      </c>
      <c r="AD14" s="65">
        <f>MIN(0.9,MAX(0,AC14-1)*Remise_par_module_ajoute)</f>
        <v/>
      </c>
      <c r="AE14" s="62">
        <f>MAX(W14:AA14)*AD14</f>
        <v/>
      </c>
      <c r="AF14" s="62">
        <f>AB14-AE14</f>
        <v/>
      </c>
      <c r="AG14" s="65">
        <f>IFERROR(VLOOKUP($B$3,Table_engagements,3,FALSE),0)</f>
        <v/>
      </c>
      <c r="AH14" s="62">
        <f>AF14*AG14</f>
        <v/>
      </c>
      <c r="AI14" s="62">
        <f>AF14-AH14</f>
        <v/>
      </c>
      <c r="AJ14" s="62">
        <f>AI14*12</f>
        <v/>
      </c>
      <c r="AK14" s="62">
        <f>IF(T14&lt;Mise_en_service_offerte_sous,0,AI14*Mise_en_service_mois)</f>
        <v/>
      </c>
      <c r="AL14" s="62">
        <f>AK14+AJ14*IF(N($B$3)&gt;0,$B$3,1)</f>
        <v/>
      </c>
      <c r="AM14" s="66">
        <f>IF(AL14&gt;=Seuil_3,"Procédure formalisée",IF(AL14&gt;=Seuil_2,"Publicité obligatoire",IF(AL14&gt;=Seuil_1,"Procédure adaptée","Sous les seuils")))</f>
        <v/>
      </c>
      <c r="AO14" s="58">
        <f>MIN(Site_Population_maximum,MAX(Site_Population_minimum,ROUND($B14,0)))</f>
        <v/>
      </c>
      <c r="AP14" s="62">
        <f>Site_Prix_ancre*(AO14/Site_Population_ancre)^Site_Exposant</f>
        <v/>
      </c>
      <c r="AQ14" s="63">
        <f>IF(AO14&lt;=Site_Chantiers_demi_poids_sous,Site_Poids_chantiers/2,IF(AO14&gt;=Site_Chantiers_plein_poids_des,Site_Poids_chantiers,Site_Poids_chantiers*(0.5+0.5*(LN(AO14)-LN(Site_Chantiers_demi_poids_sous))/(LN(Site_Chantiers_plein_poids_des)-LN(Site_Chantiers_demi_poids_sous)))))</f>
        <v/>
      </c>
      <c r="AR14" s="62">
        <f>AP14*Site_Poids_carte</f>
        <v/>
      </c>
      <c r="AS14" s="62">
        <f>AP14*Site_Poids_travaux</f>
        <v/>
      </c>
      <c r="AT14" s="62">
        <f>AP14*Site_Poids_participer</f>
        <v/>
      </c>
      <c r="AU14" s="62">
        <f>AP14*Site_Poids_diagnostic</f>
        <v/>
      </c>
      <c r="AV14" s="62">
        <f>AP14*AQ14</f>
        <v/>
      </c>
      <c r="AW14" s="62">
        <f>SUM(AR14:AV14)</f>
        <v/>
      </c>
      <c r="AX14" s="64">
        <f>5</f>
        <v/>
      </c>
      <c r="AY14" s="65">
        <f>MIN(0.9,MAX(0,AX14-1)*Site_Remise_par_module_ajoute)</f>
        <v/>
      </c>
      <c r="AZ14" s="62">
        <f>MAX(AR14:AV14)*AY14</f>
        <v/>
      </c>
      <c r="BA14" s="62">
        <f>AW14-AZ14</f>
        <v/>
      </c>
      <c r="BB14" s="65">
        <f>IFERROR(VLOOKUP($B$3,Table_engagements,2,FALSE),0)</f>
        <v/>
      </c>
      <c r="BC14" s="62">
        <f>BA14*BB14</f>
        <v/>
      </c>
      <c r="BD14" s="62">
        <f>BA14-BC14</f>
        <v/>
      </c>
      <c r="BE14" s="62">
        <f>BD14*12</f>
        <v/>
      </c>
      <c r="BF14" s="62">
        <f>IF(AO14&lt;Site_Mise_en_service_offerte_sous,0,BD14*Site_Mise_en_service_mois)</f>
        <v/>
      </c>
      <c r="BG14" s="62">
        <f>BF14+BE14*IF(N($B$3)&gt;0,$B$3,1)</f>
        <v/>
      </c>
      <c r="BH14" s="66">
        <f>IF(BG14&gt;=Seuil_3,"Procédure formalisée",IF(BG14&gt;=Seuil_2,"Publicité obligatoire",IF(BG14&gt;=Seuil_1,"Procédure adaptée","Sous les seuils")))</f>
        <v/>
      </c>
    </row>
    <row r="15">
      <c r="A15" s="15" t="inlineStr">
        <is>
          <t>Ville moyenne</t>
        </is>
      </c>
      <c r="B15" s="14" t="n">
        <v>50000</v>
      </c>
      <c r="C15" s="60">
        <f>U15</f>
        <v/>
      </c>
      <c r="D15" s="60">
        <f>W15*(1-AG15)</f>
        <v/>
      </c>
      <c r="E15" s="60">
        <f>X15*(1-AG15)</f>
        <v/>
      </c>
      <c r="F15" s="60">
        <f>Y15*(1-AG15)</f>
        <v/>
      </c>
      <c r="G15" s="60">
        <f>Z15*(1-AG15)</f>
        <v/>
      </c>
      <c r="H15" s="60">
        <f>AA15*(1-AG15)</f>
        <v/>
      </c>
      <c r="I15" s="47">
        <f>AI15</f>
        <v/>
      </c>
      <c r="J15" s="42">
        <f>AK15</f>
        <v/>
      </c>
      <c r="K15" s="42">
        <f>AL15</f>
        <v/>
      </c>
      <c r="L15" s="61">
        <f>AM15</f>
        <v/>
      </c>
      <c r="M15" s="16">
        <f>BD15</f>
        <v/>
      </c>
      <c r="N15" s="43">
        <f>AI15-BD15</f>
        <v/>
      </c>
      <c r="O15" s="53">
        <f>IF(BD15=0,0,AI15/BD15-1)</f>
        <v/>
      </c>
      <c r="T15" s="58">
        <f>MIN(Population_maximum,MAX(Population_minimum,ROUND($B15,0)))</f>
        <v/>
      </c>
      <c r="U15" s="62">
        <f>Prix_ancre*(T15/Population_ancre)^Exposant</f>
        <v/>
      </c>
      <c r="V15" s="63">
        <f>IF(T15&lt;=Chantiers_demi_poids_sous,Poids_chantiers/2,IF(T15&gt;=Chantiers_plein_poids_des,Poids_chantiers,Poids_chantiers*(0.5+0.5*(LN(T15)-LN(Chantiers_demi_poids_sous))/(LN(Chantiers_plein_poids_des)-LN(Chantiers_demi_poids_sous)))))</f>
        <v/>
      </c>
      <c r="W15" s="62">
        <f>U15*Poids_carte</f>
        <v/>
      </c>
      <c r="X15" s="62">
        <f>U15*Poids_travaux</f>
        <v/>
      </c>
      <c r="Y15" s="62">
        <f>U15*Poids_participer</f>
        <v/>
      </c>
      <c r="Z15" s="62">
        <f>U15*Poids_diagnostic</f>
        <v/>
      </c>
      <c r="AA15" s="62">
        <f>U15*V15</f>
        <v/>
      </c>
      <c r="AB15" s="62">
        <f>SUM(W15:AA15)</f>
        <v/>
      </c>
      <c r="AC15" s="64">
        <f>5</f>
        <v/>
      </c>
      <c r="AD15" s="65">
        <f>MIN(0.9,MAX(0,AC15-1)*Remise_par_module_ajoute)</f>
        <v/>
      </c>
      <c r="AE15" s="62">
        <f>MAX(W15:AA15)*AD15</f>
        <v/>
      </c>
      <c r="AF15" s="62">
        <f>AB15-AE15</f>
        <v/>
      </c>
      <c r="AG15" s="65">
        <f>IFERROR(VLOOKUP($B$3,Table_engagements,3,FALSE),0)</f>
        <v/>
      </c>
      <c r="AH15" s="62">
        <f>AF15*AG15</f>
        <v/>
      </c>
      <c r="AI15" s="62">
        <f>AF15-AH15</f>
        <v/>
      </c>
      <c r="AJ15" s="62">
        <f>AI15*12</f>
        <v/>
      </c>
      <c r="AK15" s="62">
        <f>IF(T15&lt;Mise_en_service_offerte_sous,0,AI15*Mise_en_service_mois)</f>
        <v/>
      </c>
      <c r="AL15" s="62">
        <f>AK15+AJ15*IF(N($B$3)&gt;0,$B$3,1)</f>
        <v/>
      </c>
      <c r="AM15" s="66">
        <f>IF(AL15&gt;=Seuil_3,"Procédure formalisée",IF(AL15&gt;=Seuil_2,"Publicité obligatoire",IF(AL15&gt;=Seuil_1,"Procédure adaptée","Sous les seuils")))</f>
        <v/>
      </c>
      <c r="AO15" s="58">
        <f>MIN(Site_Population_maximum,MAX(Site_Population_minimum,ROUND($B15,0)))</f>
        <v/>
      </c>
      <c r="AP15" s="62">
        <f>Site_Prix_ancre*(AO15/Site_Population_ancre)^Site_Exposant</f>
        <v/>
      </c>
      <c r="AQ15" s="63">
        <f>IF(AO15&lt;=Site_Chantiers_demi_poids_sous,Site_Poids_chantiers/2,IF(AO15&gt;=Site_Chantiers_plein_poids_des,Site_Poids_chantiers,Site_Poids_chantiers*(0.5+0.5*(LN(AO15)-LN(Site_Chantiers_demi_poids_sous))/(LN(Site_Chantiers_plein_poids_des)-LN(Site_Chantiers_demi_poids_sous)))))</f>
        <v/>
      </c>
      <c r="AR15" s="62">
        <f>AP15*Site_Poids_carte</f>
        <v/>
      </c>
      <c r="AS15" s="62">
        <f>AP15*Site_Poids_travaux</f>
        <v/>
      </c>
      <c r="AT15" s="62">
        <f>AP15*Site_Poids_participer</f>
        <v/>
      </c>
      <c r="AU15" s="62">
        <f>AP15*Site_Poids_diagnostic</f>
        <v/>
      </c>
      <c r="AV15" s="62">
        <f>AP15*AQ15</f>
        <v/>
      </c>
      <c r="AW15" s="62">
        <f>SUM(AR15:AV15)</f>
        <v/>
      </c>
      <c r="AX15" s="64">
        <f>5</f>
        <v/>
      </c>
      <c r="AY15" s="65">
        <f>MIN(0.9,MAX(0,AX15-1)*Site_Remise_par_module_ajoute)</f>
        <v/>
      </c>
      <c r="AZ15" s="62">
        <f>MAX(AR15:AV15)*AY15</f>
        <v/>
      </c>
      <c r="BA15" s="62">
        <f>AW15-AZ15</f>
        <v/>
      </c>
      <c r="BB15" s="65">
        <f>IFERROR(VLOOKUP($B$3,Table_engagements,2,FALSE),0)</f>
        <v/>
      </c>
      <c r="BC15" s="62">
        <f>BA15*BB15</f>
        <v/>
      </c>
      <c r="BD15" s="62">
        <f>BA15-BC15</f>
        <v/>
      </c>
      <c r="BE15" s="62">
        <f>BD15*12</f>
        <v/>
      </c>
      <c r="BF15" s="62">
        <f>IF(AO15&lt;Site_Mise_en_service_offerte_sous,0,BD15*Site_Mise_en_service_mois)</f>
        <v/>
      </c>
      <c r="BG15" s="62">
        <f>BF15+BE15*IF(N($B$3)&gt;0,$B$3,1)</f>
        <v/>
      </c>
      <c r="BH15" s="66">
        <f>IF(BG15&gt;=Seuil_3,"Procédure formalisée",IF(BG15&gt;=Seuil_2,"Publicité obligatoire",IF(BG15&gt;=Seuil_1,"Procédure adaptée","Sous les seuils")))</f>
        <v/>
      </c>
    </row>
    <row r="16">
      <c r="A16" s="15" t="inlineStr">
        <is>
          <t>Ville moyenne</t>
        </is>
      </c>
      <c r="B16" s="14" t="n">
        <v>80000</v>
      </c>
      <c r="C16" s="60">
        <f>U16</f>
        <v/>
      </c>
      <c r="D16" s="60">
        <f>W16*(1-AG16)</f>
        <v/>
      </c>
      <c r="E16" s="60">
        <f>X16*(1-AG16)</f>
        <v/>
      </c>
      <c r="F16" s="60">
        <f>Y16*(1-AG16)</f>
        <v/>
      </c>
      <c r="G16" s="60">
        <f>Z16*(1-AG16)</f>
        <v/>
      </c>
      <c r="H16" s="60">
        <f>AA16*(1-AG16)</f>
        <v/>
      </c>
      <c r="I16" s="47">
        <f>AI16</f>
        <v/>
      </c>
      <c r="J16" s="42">
        <f>AK16</f>
        <v/>
      </c>
      <c r="K16" s="42">
        <f>AL16</f>
        <v/>
      </c>
      <c r="L16" s="61">
        <f>AM16</f>
        <v/>
      </c>
      <c r="M16" s="16">
        <f>BD16</f>
        <v/>
      </c>
      <c r="N16" s="43">
        <f>AI16-BD16</f>
        <v/>
      </c>
      <c r="O16" s="53">
        <f>IF(BD16=0,0,AI16/BD16-1)</f>
        <v/>
      </c>
      <c r="T16" s="58">
        <f>MIN(Population_maximum,MAX(Population_minimum,ROUND($B16,0)))</f>
        <v/>
      </c>
      <c r="U16" s="62">
        <f>Prix_ancre*(T16/Population_ancre)^Exposant</f>
        <v/>
      </c>
      <c r="V16" s="63">
        <f>IF(T16&lt;=Chantiers_demi_poids_sous,Poids_chantiers/2,IF(T16&gt;=Chantiers_plein_poids_des,Poids_chantiers,Poids_chantiers*(0.5+0.5*(LN(T16)-LN(Chantiers_demi_poids_sous))/(LN(Chantiers_plein_poids_des)-LN(Chantiers_demi_poids_sous)))))</f>
        <v/>
      </c>
      <c r="W16" s="62">
        <f>U16*Poids_carte</f>
        <v/>
      </c>
      <c r="X16" s="62">
        <f>U16*Poids_travaux</f>
        <v/>
      </c>
      <c r="Y16" s="62">
        <f>U16*Poids_participer</f>
        <v/>
      </c>
      <c r="Z16" s="62">
        <f>U16*Poids_diagnostic</f>
        <v/>
      </c>
      <c r="AA16" s="62">
        <f>U16*V16</f>
        <v/>
      </c>
      <c r="AB16" s="62">
        <f>SUM(W16:AA16)</f>
        <v/>
      </c>
      <c r="AC16" s="64">
        <f>5</f>
        <v/>
      </c>
      <c r="AD16" s="65">
        <f>MIN(0.9,MAX(0,AC16-1)*Remise_par_module_ajoute)</f>
        <v/>
      </c>
      <c r="AE16" s="62">
        <f>MAX(W16:AA16)*AD16</f>
        <v/>
      </c>
      <c r="AF16" s="62">
        <f>AB16-AE16</f>
        <v/>
      </c>
      <c r="AG16" s="65">
        <f>IFERROR(VLOOKUP($B$3,Table_engagements,3,FALSE),0)</f>
        <v/>
      </c>
      <c r="AH16" s="62">
        <f>AF16*AG16</f>
        <v/>
      </c>
      <c r="AI16" s="62">
        <f>AF16-AH16</f>
        <v/>
      </c>
      <c r="AJ16" s="62">
        <f>AI16*12</f>
        <v/>
      </c>
      <c r="AK16" s="62">
        <f>IF(T16&lt;Mise_en_service_offerte_sous,0,AI16*Mise_en_service_mois)</f>
        <v/>
      </c>
      <c r="AL16" s="62">
        <f>AK16+AJ16*IF(N($B$3)&gt;0,$B$3,1)</f>
        <v/>
      </c>
      <c r="AM16" s="66">
        <f>IF(AL16&gt;=Seuil_3,"Procédure formalisée",IF(AL16&gt;=Seuil_2,"Publicité obligatoire",IF(AL16&gt;=Seuil_1,"Procédure adaptée","Sous les seuils")))</f>
        <v/>
      </c>
      <c r="AO16" s="58">
        <f>MIN(Site_Population_maximum,MAX(Site_Population_minimum,ROUND($B16,0)))</f>
        <v/>
      </c>
      <c r="AP16" s="62">
        <f>Site_Prix_ancre*(AO16/Site_Population_ancre)^Site_Exposant</f>
        <v/>
      </c>
      <c r="AQ16" s="63">
        <f>IF(AO16&lt;=Site_Chantiers_demi_poids_sous,Site_Poids_chantiers/2,IF(AO16&gt;=Site_Chantiers_plein_poids_des,Site_Poids_chantiers,Site_Poids_chantiers*(0.5+0.5*(LN(AO16)-LN(Site_Chantiers_demi_poids_sous))/(LN(Site_Chantiers_plein_poids_des)-LN(Site_Chantiers_demi_poids_sous)))))</f>
        <v/>
      </c>
      <c r="AR16" s="62">
        <f>AP16*Site_Poids_carte</f>
        <v/>
      </c>
      <c r="AS16" s="62">
        <f>AP16*Site_Poids_travaux</f>
        <v/>
      </c>
      <c r="AT16" s="62">
        <f>AP16*Site_Poids_participer</f>
        <v/>
      </c>
      <c r="AU16" s="62">
        <f>AP16*Site_Poids_diagnostic</f>
        <v/>
      </c>
      <c r="AV16" s="62">
        <f>AP16*AQ16</f>
        <v/>
      </c>
      <c r="AW16" s="62">
        <f>SUM(AR16:AV16)</f>
        <v/>
      </c>
      <c r="AX16" s="64">
        <f>5</f>
        <v/>
      </c>
      <c r="AY16" s="65">
        <f>MIN(0.9,MAX(0,AX16-1)*Site_Remise_par_module_ajoute)</f>
        <v/>
      </c>
      <c r="AZ16" s="62">
        <f>MAX(AR16:AV16)*AY16</f>
        <v/>
      </c>
      <c r="BA16" s="62">
        <f>AW16-AZ16</f>
        <v/>
      </c>
      <c r="BB16" s="65">
        <f>IFERROR(VLOOKUP($B$3,Table_engagements,2,FALSE),0)</f>
        <v/>
      </c>
      <c r="BC16" s="62">
        <f>BA16*BB16</f>
        <v/>
      </c>
      <c r="BD16" s="62">
        <f>BA16-BC16</f>
        <v/>
      </c>
      <c r="BE16" s="62">
        <f>BD16*12</f>
        <v/>
      </c>
      <c r="BF16" s="62">
        <f>IF(AO16&lt;Site_Mise_en_service_offerte_sous,0,BD16*Site_Mise_en_service_mois)</f>
        <v/>
      </c>
      <c r="BG16" s="62">
        <f>BF16+BE16*IF(N($B$3)&gt;0,$B$3,1)</f>
        <v/>
      </c>
      <c r="BH16" s="66">
        <f>IF(BG16&gt;=Seuil_3,"Procédure formalisée",IF(BG16&gt;=Seuil_2,"Publicité obligatoire",IF(BG16&gt;=Seuil_1,"Procédure adaptée","Sous les seuils")))</f>
        <v/>
      </c>
    </row>
    <row r="17">
      <c r="A17" s="15" t="inlineStr">
        <is>
          <t>Grande ville</t>
        </is>
      </c>
      <c r="B17" s="14" t="n">
        <v>150000</v>
      </c>
      <c r="C17" s="60">
        <f>U17</f>
        <v/>
      </c>
      <c r="D17" s="60">
        <f>W17*(1-AG17)</f>
        <v/>
      </c>
      <c r="E17" s="60">
        <f>X17*(1-AG17)</f>
        <v/>
      </c>
      <c r="F17" s="60">
        <f>Y17*(1-AG17)</f>
        <v/>
      </c>
      <c r="G17" s="60">
        <f>Z17*(1-AG17)</f>
        <v/>
      </c>
      <c r="H17" s="60">
        <f>AA17*(1-AG17)</f>
        <v/>
      </c>
      <c r="I17" s="47">
        <f>AI17</f>
        <v/>
      </c>
      <c r="J17" s="42">
        <f>AK17</f>
        <v/>
      </c>
      <c r="K17" s="42">
        <f>AL17</f>
        <v/>
      </c>
      <c r="L17" s="61">
        <f>AM17</f>
        <v/>
      </c>
      <c r="M17" s="16">
        <f>BD17</f>
        <v/>
      </c>
      <c r="N17" s="43">
        <f>AI17-BD17</f>
        <v/>
      </c>
      <c r="O17" s="53">
        <f>IF(BD17=0,0,AI17/BD17-1)</f>
        <v/>
      </c>
      <c r="T17" s="58">
        <f>MIN(Population_maximum,MAX(Population_minimum,ROUND($B17,0)))</f>
        <v/>
      </c>
      <c r="U17" s="62">
        <f>Prix_ancre*(T17/Population_ancre)^Exposant</f>
        <v/>
      </c>
      <c r="V17" s="63">
        <f>IF(T17&lt;=Chantiers_demi_poids_sous,Poids_chantiers/2,IF(T17&gt;=Chantiers_plein_poids_des,Poids_chantiers,Poids_chantiers*(0.5+0.5*(LN(T17)-LN(Chantiers_demi_poids_sous))/(LN(Chantiers_plein_poids_des)-LN(Chantiers_demi_poids_sous)))))</f>
        <v/>
      </c>
      <c r="W17" s="62">
        <f>U17*Poids_carte</f>
        <v/>
      </c>
      <c r="X17" s="62">
        <f>U17*Poids_travaux</f>
        <v/>
      </c>
      <c r="Y17" s="62">
        <f>U17*Poids_participer</f>
        <v/>
      </c>
      <c r="Z17" s="62">
        <f>U17*Poids_diagnostic</f>
        <v/>
      </c>
      <c r="AA17" s="62">
        <f>U17*V17</f>
        <v/>
      </c>
      <c r="AB17" s="62">
        <f>SUM(W17:AA17)</f>
        <v/>
      </c>
      <c r="AC17" s="64">
        <f>5</f>
        <v/>
      </c>
      <c r="AD17" s="65">
        <f>MIN(0.9,MAX(0,AC17-1)*Remise_par_module_ajoute)</f>
        <v/>
      </c>
      <c r="AE17" s="62">
        <f>MAX(W17:AA17)*AD17</f>
        <v/>
      </c>
      <c r="AF17" s="62">
        <f>AB17-AE17</f>
        <v/>
      </c>
      <c r="AG17" s="65">
        <f>IFERROR(VLOOKUP($B$3,Table_engagements,3,FALSE),0)</f>
        <v/>
      </c>
      <c r="AH17" s="62">
        <f>AF17*AG17</f>
        <v/>
      </c>
      <c r="AI17" s="62">
        <f>AF17-AH17</f>
        <v/>
      </c>
      <c r="AJ17" s="62">
        <f>AI17*12</f>
        <v/>
      </c>
      <c r="AK17" s="62">
        <f>IF(T17&lt;Mise_en_service_offerte_sous,0,AI17*Mise_en_service_mois)</f>
        <v/>
      </c>
      <c r="AL17" s="62">
        <f>AK17+AJ17*IF(N($B$3)&gt;0,$B$3,1)</f>
        <v/>
      </c>
      <c r="AM17" s="66">
        <f>IF(AL17&gt;=Seuil_3,"Procédure formalisée",IF(AL17&gt;=Seuil_2,"Publicité obligatoire",IF(AL17&gt;=Seuil_1,"Procédure adaptée","Sous les seuils")))</f>
        <v/>
      </c>
      <c r="AO17" s="58">
        <f>MIN(Site_Population_maximum,MAX(Site_Population_minimum,ROUND($B17,0)))</f>
        <v/>
      </c>
      <c r="AP17" s="62">
        <f>Site_Prix_ancre*(AO17/Site_Population_ancre)^Site_Exposant</f>
        <v/>
      </c>
      <c r="AQ17" s="63">
        <f>IF(AO17&lt;=Site_Chantiers_demi_poids_sous,Site_Poids_chantiers/2,IF(AO17&gt;=Site_Chantiers_plein_poids_des,Site_Poids_chantiers,Site_Poids_chantiers*(0.5+0.5*(LN(AO17)-LN(Site_Chantiers_demi_poids_sous))/(LN(Site_Chantiers_plein_poids_des)-LN(Site_Chantiers_demi_poids_sous)))))</f>
        <v/>
      </c>
      <c r="AR17" s="62">
        <f>AP17*Site_Poids_carte</f>
        <v/>
      </c>
      <c r="AS17" s="62">
        <f>AP17*Site_Poids_travaux</f>
        <v/>
      </c>
      <c r="AT17" s="62">
        <f>AP17*Site_Poids_participer</f>
        <v/>
      </c>
      <c r="AU17" s="62">
        <f>AP17*Site_Poids_diagnostic</f>
        <v/>
      </c>
      <c r="AV17" s="62">
        <f>AP17*AQ17</f>
        <v/>
      </c>
      <c r="AW17" s="62">
        <f>SUM(AR17:AV17)</f>
        <v/>
      </c>
      <c r="AX17" s="64">
        <f>5</f>
        <v/>
      </c>
      <c r="AY17" s="65">
        <f>MIN(0.9,MAX(0,AX17-1)*Site_Remise_par_module_ajoute)</f>
        <v/>
      </c>
      <c r="AZ17" s="62">
        <f>MAX(AR17:AV17)*AY17</f>
        <v/>
      </c>
      <c r="BA17" s="62">
        <f>AW17-AZ17</f>
        <v/>
      </c>
      <c r="BB17" s="65">
        <f>IFERROR(VLOOKUP($B$3,Table_engagements,2,FALSE),0)</f>
        <v/>
      </c>
      <c r="BC17" s="62">
        <f>BA17*BB17</f>
        <v/>
      </c>
      <c r="BD17" s="62">
        <f>BA17-BC17</f>
        <v/>
      </c>
      <c r="BE17" s="62">
        <f>BD17*12</f>
        <v/>
      </c>
      <c r="BF17" s="62">
        <f>IF(AO17&lt;Site_Mise_en_service_offerte_sous,0,BD17*Site_Mise_en_service_mois)</f>
        <v/>
      </c>
      <c r="BG17" s="62">
        <f>BF17+BE17*IF(N($B$3)&gt;0,$B$3,1)</f>
        <v/>
      </c>
      <c r="BH17" s="66">
        <f>IF(BG17&gt;=Seuil_3,"Procédure formalisée",IF(BG17&gt;=Seuil_2,"Publicité obligatoire",IF(BG17&gt;=Seuil_1,"Procédure adaptée","Sous les seuils")))</f>
        <v/>
      </c>
    </row>
    <row r="18">
      <c r="A18" s="15" t="inlineStr">
        <is>
          <t>Grande ville</t>
        </is>
      </c>
      <c r="B18" s="14" t="n">
        <v>300000</v>
      </c>
      <c r="C18" s="60">
        <f>U18</f>
        <v/>
      </c>
      <c r="D18" s="60">
        <f>W18*(1-AG18)</f>
        <v/>
      </c>
      <c r="E18" s="60">
        <f>X18*(1-AG18)</f>
        <v/>
      </c>
      <c r="F18" s="60">
        <f>Y18*(1-AG18)</f>
        <v/>
      </c>
      <c r="G18" s="60">
        <f>Z18*(1-AG18)</f>
        <v/>
      </c>
      <c r="H18" s="60">
        <f>AA18*(1-AG18)</f>
        <v/>
      </c>
      <c r="I18" s="47">
        <f>AI18</f>
        <v/>
      </c>
      <c r="J18" s="42">
        <f>AK18</f>
        <v/>
      </c>
      <c r="K18" s="42">
        <f>AL18</f>
        <v/>
      </c>
      <c r="L18" s="61">
        <f>AM18</f>
        <v/>
      </c>
      <c r="M18" s="16">
        <f>BD18</f>
        <v/>
      </c>
      <c r="N18" s="43">
        <f>AI18-BD18</f>
        <v/>
      </c>
      <c r="O18" s="53">
        <f>IF(BD18=0,0,AI18/BD18-1)</f>
        <v/>
      </c>
      <c r="T18" s="58">
        <f>MIN(Population_maximum,MAX(Population_minimum,ROUND($B18,0)))</f>
        <v/>
      </c>
      <c r="U18" s="62">
        <f>Prix_ancre*(T18/Population_ancre)^Exposant</f>
        <v/>
      </c>
      <c r="V18" s="63">
        <f>IF(T18&lt;=Chantiers_demi_poids_sous,Poids_chantiers/2,IF(T18&gt;=Chantiers_plein_poids_des,Poids_chantiers,Poids_chantiers*(0.5+0.5*(LN(T18)-LN(Chantiers_demi_poids_sous))/(LN(Chantiers_plein_poids_des)-LN(Chantiers_demi_poids_sous)))))</f>
        <v/>
      </c>
      <c r="W18" s="62">
        <f>U18*Poids_carte</f>
        <v/>
      </c>
      <c r="X18" s="62">
        <f>U18*Poids_travaux</f>
        <v/>
      </c>
      <c r="Y18" s="62">
        <f>U18*Poids_participer</f>
        <v/>
      </c>
      <c r="Z18" s="62">
        <f>U18*Poids_diagnostic</f>
        <v/>
      </c>
      <c r="AA18" s="62">
        <f>U18*V18</f>
        <v/>
      </c>
      <c r="AB18" s="62">
        <f>SUM(W18:AA18)</f>
        <v/>
      </c>
      <c r="AC18" s="64">
        <f>5</f>
        <v/>
      </c>
      <c r="AD18" s="65">
        <f>MIN(0.9,MAX(0,AC18-1)*Remise_par_module_ajoute)</f>
        <v/>
      </c>
      <c r="AE18" s="62">
        <f>MAX(W18:AA18)*AD18</f>
        <v/>
      </c>
      <c r="AF18" s="62">
        <f>AB18-AE18</f>
        <v/>
      </c>
      <c r="AG18" s="65">
        <f>IFERROR(VLOOKUP($B$3,Table_engagements,3,FALSE),0)</f>
        <v/>
      </c>
      <c r="AH18" s="62">
        <f>AF18*AG18</f>
        <v/>
      </c>
      <c r="AI18" s="62">
        <f>AF18-AH18</f>
        <v/>
      </c>
      <c r="AJ18" s="62">
        <f>AI18*12</f>
        <v/>
      </c>
      <c r="AK18" s="62">
        <f>IF(T18&lt;Mise_en_service_offerte_sous,0,AI18*Mise_en_service_mois)</f>
        <v/>
      </c>
      <c r="AL18" s="62">
        <f>AK18+AJ18*IF(N($B$3)&gt;0,$B$3,1)</f>
        <v/>
      </c>
      <c r="AM18" s="66">
        <f>IF(AL18&gt;=Seuil_3,"Procédure formalisée",IF(AL18&gt;=Seuil_2,"Publicité obligatoire",IF(AL18&gt;=Seuil_1,"Procédure adaptée","Sous les seuils")))</f>
        <v/>
      </c>
      <c r="AO18" s="58">
        <f>MIN(Site_Population_maximum,MAX(Site_Population_minimum,ROUND($B18,0)))</f>
        <v/>
      </c>
      <c r="AP18" s="62">
        <f>Site_Prix_ancre*(AO18/Site_Population_ancre)^Site_Exposant</f>
        <v/>
      </c>
      <c r="AQ18" s="63">
        <f>IF(AO18&lt;=Site_Chantiers_demi_poids_sous,Site_Poids_chantiers/2,IF(AO18&gt;=Site_Chantiers_plein_poids_des,Site_Poids_chantiers,Site_Poids_chantiers*(0.5+0.5*(LN(AO18)-LN(Site_Chantiers_demi_poids_sous))/(LN(Site_Chantiers_plein_poids_des)-LN(Site_Chantiers_demi_poids_sous)))))</f>
        <v/>
      </c>
      <c r="AR18" s="62">
        <f>AP18*Site_Poids_carte</f>
        <v/>
      </c>
      <c r="AS18" s="62">
        <f>AP18*Site_Poids_travaux</f>
        <v/>
      </c>
      <c r="AT18" s="62">
        <f>AP18*Site_Poids_participer</f>
        <v/>
      </c>
      <c r="AU18" s="62">
        <f>AP18*Site_Poids_diagnostic</f>
        <v/>
      </c>
      <c r="AV18" s="62">
        <f>AP18*AQ18</f>
        <v/>
      </c>
      <c r="AW18" s="62">
        <f>SUM(AR18:AV18)</f>
        <v/>
      </c>
      <c r="AX18" s="64">
        <f>5</f>
        <v/>
      </c>
      <c r="AY18" s="65">
        <f>MIN(0.9,MAX(0,AX18-1)*Site_Remise_par_module_ajoute)</f>
        <v/>
      </c>
      <c r="AZ18" s="62">
        <f>MAX(AR18:AV18)*AY18</f>
        <v/>
      </c>
      <c r="BA18" s="62">
        <f>AW18-AZ18</f>
        <v/>
      </c>
      <c r="BB18" s="65">
        <f>IFERROR(VLOOKUP($B$3,Table_engagements,2,FALSE),0)</f>
        <v/>
      </c>
      <c r="BC18" s="62">
        <f>BA18*BB18</f>
        <v/>
      </c>
      <c r="BD18" s="62">
        <f>BA18-BC18</f>
        <v/>
      </c>
      <c r="BE18" s="62">
        <f>BD18*12</f>
        <v/>
      </c>
      <c r="BF18" s="62">
        <f>IF(AO18&lt;Site_Mise_en_service_offerte_sous,0,BD18*Site_Mise_en_service_mois)</f>
        <v/>
      </c>
      <c r="BG18" s="62">
        <f>BF18+BE18*IF(N($B$3)&gt;0,$B$3,1)</f>
        <v/>
      </c>
      <c r="BH18" s="66">
        <f>IF(BG18&gt;=Seuil_3,"Procédure formalisée",IF(BG18&gt;=Seuil_2,"Publicité obligatoire",IF(BG18&gt;=Seuil_1,"Procédure adaptée","Sous les seuils")))</f>
        <v/>
      </c>
    </row>
    <row r="19">
      <c r="A19" s="15" t="inlineStr">
        <is>
          <t>Métropole</t>
        </is>
      </c>
      <c r="B19" s="14" t="n">
        <v>500000</v>
      </c>
      <c r="C19" s="60">
        <f>U19</f>
        <v/>
      </c>
      <c r="D19" s="60">
        <f>W19*(1-AG19)</f>
        <v/>
      </c>
      <c r="E19" s="60">
        <f>X19*(1-AG19)</f>
        <v/>
      </c>
      <c r="F19" s="60">
        <f>Y19*(1-AG19)</f>
        <v/>
      </c>
      <c r="G19" s="60">
        <f>Z19*(1-AG19)</f>
        <v/>
      </c>
      <c r="H19" s="60">
        <f>AA19*(1-AG19)</f>
        <v/>
      </c>
      <c r="I19" s="47">
        <f>AI19</f>
        <v/>
      </c>
      <c r="J19" s="42">
        <f>AK19</f>
        <v/>
      </c>
      <c r="K19" s="42">
        <f>AL19</f>
        <v/>
      </c>
      <c r="L19" s="61">
        <f>AM19</f>
        <v/>
      </c>
      <c r="M19" s="16">
        <f>BD19</f>
        <v/>
      </c>
      <c r="N19" s="43">
        <f>AI19-BD19</f>
        <v/>
      </c>
      <c r="O19" s="53">
        <f>IF(BD19=0,0,AI19/BD19-1)</f>
        <v/>
      </c>
      <c r="T19" s="58">
        <f>MIN(Population_maximum,MAX(Population_minimum,ROUND($B19,0)))</f>
        <v/>
      </c>
      <c r="U19" s="62">
        <f>Prix_ancre*(T19/Population_ancre)^Exposant</f>
        <v/>
      </c>
      <c r="V19" s="63">
        <f>IF(T19&lt;=Chantiers_demi_poids_sous,Poids_chantiers/2,IF(T19&gt;=Chantiers_plein_poids_des,Poids_chantiers,Poids_chantiers*(0.5+0.5*(LN(T19)-LN(Chantiers_demi_poids_sous))/(LN(Chantiers_plein_poids_des)-LN(Chantiers_demi_poids_sous)))))</f>
        <v/>
      </c>
      <c r="W19" s="62">
        <f>U19*Poids_carte</f>
        <v/>
      </c>
      <c r="X19" s="62">
        <f>U19*Poids_travaux</f>
        <v/>
      </c>
      <c r="Y19" s="62">
        <f>U19*Poids_participer</f>
        <v/>
      </c>
      <c r="Z19" s="62">
        <f>U19*Poids_diagnostic</f>
        <v/>
      </c>
      <c r="AA19" s="62">
        <f>U19*V19</f>
        <v/>
      </c>
      <c r="AB19" s="62">
        <f>SUM(W19:AA19)</f>
        <v/>
      </c>
      <c r="AC19" s="64">
        <f>5</f>
        <v/>
      </c>
      <c r="AD19" s="65">
        <f>MIN(0.9,MAX(0,AC19-1)*Remise_par_module_ajoute)</f>
        <v/>
      </c>
      <c r="AE19" s="62">
        <f>MAX(W19:AA19)*AD19</f>
        <v/>
      </c>
      <c r="AF19" s="62">
        <f>AB19-AE19</f>
        <v/>
      </c>
      <c r="AG19" s="65">
        <f>IFERROR(VLOOKUP($B$3,Table_engagements,3,FALSE),0)</f>
        <v/>
      </c>
      <c r="AH19" s="62">
        <f>AF19*AG19</f>
        <v/>
      </c>
      <c r="AI19" s="62">
        <f>AF19-AH19</f>
        <v/>
      </c>
      <c r="AJ19" s="62">
        <f>AI19*12</f>
        <v/>
      </c>
      <c r="AK19" s="62">
        <f>IF(T19&lt;Mise_en_service_offerte_sous,0,AI19*Mise_en_service_mois)</f>
        <v/>
      </c>
      <c r="AL19" s="62">
        <f>AK19+AJ19*IF(N($B$3)&gt;0,$B$3,1)</f>
        <v/>
      </c>
      <c r="AM19" s="66">
        <f>IF(AL19&gt;=Seuil_3,"Procédure formalisée",IF(AL19&gt;=Seuil_2,"Publicité obligatoire",IF(AL19&gt;=Seuil_1,"Procédure adaptée","Sous les seuils")))</f>
        <v/>
      </c>
      <c r="AO19" s="58">
        <f>MIN(Site_Population_maximum,MAX(Site_Population_minimum,ROUND($B19,0)))</f>
        <v/>
      </c>
      <c r="AP19" s="62">
        <f>Site_Prix_ancre*(AO19/Site_Population_ancre)^Site_Exposant</f>
        <v/>
      </c>
      <c r="AQ19" s="63">
        <f>IF(AO19&lt;=Site_Chantiers_demi_poids_sous,Site_Poids_chantiers/2,IF(AO19&gt;=Site_Chantiers_plein_poids_des,Site_Poids_chantiers,Site_Poids_chantiers*(0.5+0.5*(LN(AO19)-LN(Site_Chantiers_demi_poids_sous))/(LN(Site_Chantiers_plein_poids_des)-LN(Site_Chantiers_demi_poids_sous)))))</f>
        <v/>
      </c>
      <c r="AR19" s="62">
        <f>AP19*Site_Poids_carte</f>
        <v/>
      </c>
      <c r="AS19" s="62">
        <f>AP19*Site_Poids_travaux</f>
        <v/>
      </c>
      <c r="AT19" s="62">
        <f>AP19*Site_Poids_participer</f>
        <v/>
      </c>
      <c r="AU19" s="62">
        <f>AP19*Site_Poids_diagnostic</f>
        <v/>
      </c>
      <c r="AV19" s="62">
        <f>AP19*AQ19</f>
        <v/>
      </c>
      <c r="AW19" s="62">
        <f>SUM(AR19:AV19)</f>
        <v/>
      </c>
      <c r="AX19" s="64">
        <f>5</f>
        <v/>
      </c>
      <c r="AY19" s="65">
        <f>MIN(0.9,MAX(0,AX19-1)*Site_Remise_par_module_ajoute)</f>
        <v/>
      </c>
      <c r="AZ19" s="62">
        <f>MAX(AR19:AV19)*AY19</f>
        <v/>
      </c>
      <c r="BA19" s="62">
        <f>AW19-AZ19</f>
        <v/>
      </c>
      <c r="BB19" s="65">
        <f>IFERROR(VLOOKUP($B$3,Table_engagements,2,FALSE),0)</f>
        <v/>
      </c>
      <c r="BC19" s="62">
        <f>BA19*BB19</f>
        <v/>
      </c>
      <c r="BD19" s="62">
        <f>BA19-BC19</f>
        <v/>
      </c>
      <c r="BE19" s="62">
        <f>BD19*12</f>
        <v/>
      </c>
      <c r="BF19" s="62">
        <f>IF(AO19&lt;Site_Mise_en_service_offerte_sous,0,BD19*Site_Mise_en_service_mois)</f>
        <v/>
      </c>
      <c r="BG19" s="62">
        <f>BF19+BE19*IF(N($B$3)&gt;0,$B$3,1)</f>
        <v/>
      </c>
      <c r="BH19" s="66">
        <f>IF(BG19&gt;=Seuil_3,"Procédure formalisée",IF(BG19&gt;=Seuil_2,"Publicité obligatoire",IF(BG19&gt;=Seuil_1,"Procédure adaptée","Sous les seuils")))</f>
        <v/>
      </c>
    </row>
    <row r="20">
      <c r="A20" s="15" t="inlineStr">
        <is>
          <t>Métropole</t>
        </is>
      </c>
      <c r="B20" s="14" t="n">
        <v>1000000</v>
      </c>
      <c r="C20" s="60">
        <f>U20</f>
        <v/>
      </c>
      <c r="D20" s="60">
        <f>W20*(1-AG20)</f>
        <v/>
      </c>
      <c r="E20" s="60">
        <f>X20*(1-AG20)</f>
        <v/>
      </c>
      <c r="F20" s="60">
        <f>Y20*(1-AG20)</f>
        <v/>
      </c>
      <c r="G20" s="60">
        <f>Z20*(1-AG20)</f>
        <v/>
      </c>
      <c r="H20" s="60">
        <f>AA20*(1-AG20)</f>
        <v/>
      </c>
      <c r="I20" s="47">
        <f>AI20</f>
        <v/>
      </c>
      <c r="J20" s="42">
        <f>AK20</f>
        <v/>
      </c>
      <c r="K20" s="42">
        <f>AL20</f>
        <v/>
      </c>
      <c r="L20" s="61">
        <f>AM20</f>
        <v/>
      </c>
      <c r="M20" s="16">
        <f>BD20</f>
        <v/>
      </c>
      <c r="N20" s="43">
        <f>AI20-BD20</f>
        <v/>
      </c>
      <c r="O20" s="53">
        <f>IF(BD20=0,0,AI20/BD20-1)</f>
        <v/>
      </c>
      <c r="T20" s="58">
        <f>MIN(Population_maximum,MAX(Population_minimum,ROUND($B20,0)))</f>
        <v/>
      </c>
      <c r="U20" s="62">
        <f>Prix_ancre*(T20/Population_ancre)^Exposant</f>
        <v/>
      </c>
      <c r="V20" s="63">
        <f>IF(T20&lt;=Chantiers_demi_poids_sous,Poids_chantiers/2,IF(T20&gt;=Chantiers_plein_poids_des,Poids_chantiers,Poids_chantiers*(0.5+0.5*(LN(T20)-LN(Chantiers_demi_poids_sous))/(LN(Chantiers_plein_poids_des)-LN(Chantiers_demi_poids_sous)))))</f>
        <v/>
      </c>
      <c r="W20" s="62">
        <f>U20*Poids_carte</f>
        <v/>
      </c>
      <c r="X20" s="62">
        <f>U20*Poids_travaux</f>
        <v/>
      </c>
      <c r="Y20" s="62">
        <f>U20*Poids_participer</f>
        <v/>
      </c>
      <c r="Z20" s="62">
        <f>U20*Poids_diagnostic</f>
        <v/>
      </c>
      <c r="AA20" s="62">
        <f>U20*V20</f>
        <v/>
      </c>
      <c r="AB20" s="62">
        <f>SUM(W20:AA20)</f>
        <v/>
      </c>
      <c r="AC20" s="64">
        <f>5</f>
        <v/>
      </c>
      <c r="AD20" s="65">
        <f>MIN(0.9,MAX(0,AC20-1)*Remise_par_module_ajoute)</f>
        <v/>
      </c>
      <c r="AE20" s="62">
        <f>MAX(W20:AA20)*AD20</f>
        <v/>
      </c>
      <c r="AF20" s="62">
        <f>AB20-AE20</f>
        <v/>
      </c>
      <c r="AG20" s="65">
        <f>IFERROR(VLOOKUP($B$3,Table_engagements,3,FALSE),0)</f>
        <v/>
      </c>
      <c r="AH20" s="62">
        <f>AF20*AG20</f>
        <v/>
      </c>
      <c r="AI20" s="62">
        <f>AF20-AH20</f>
        <v/>
      </c>
      <c r="AJ20" s="62">
        <f>AI20*12</f>
        <v/>
      </c>
      <c r="AK20" s="62">
        <f>IF(T20&lt;Mise_en_service_offerte_sous,0,AI20*Mise_en_service_mois)</f>
        <v/>
      </c>
      <c r="AL20" s="62">
        <f>AK20+AJ20*IF(N($B$3)&gt;0,$B$3,1)</f>
        <v/>
      </c>
      <c r="AM20" s="66">
        <f>IF(AL20&gt;=Seuil_3,"Procédure formalisée",IF(AL20&gt;=Seuil_2,"Publicité obligatoire",IF(AL20&gt;=Seuil_1,"Procédure adaptée","Sous les seuils")))</f>
        <v/>
      </c>
      <c r="AO20" s="58">
        <f>MIN(Site_Population_maximum,MAX(Site_Population_minimum,ROUND($B20,0)))</f>
        <v/>
      </c>
      <c r="AP20" s="62">
        <f>Site_Prix_ancre*(AO20/Site_Population_ancre)^Site_Exposant</f>
        <v/>
      </c>
      <c r="AQ20" s="63">
        <f>IF(AO20&lt;=Site_Chantiers_demi_poids_sous,Site_Poids_chantiers/2,IF(AO20&gt;=Site_Chantiers_plein_poids_des,Site_Poids_chantiers,Site_Poids_chantiers*(0.5+0.5*(LN(AO20)-LN(Site_Chantiers_demi_poids_sous))/(LN(Site_Chantiers_plein_poids_des)-LN(Site_Chantiers_demi_poids_sous)))))</f>
        <v/>
      </c>
      <c r="AR20" s="62">
        <f>AP20*Site_Poids_carte</f>
        <v/>
      </c>
      <c r="AS20" s="62">
        <f>AP20*Site_Poids_travaux</f>
        <v/>
      </c>
      <c r="AT20" s="62">
        <f>AP20*Site_Poids_participer</f>
        <v/>
      </c>
      <c r="AU20" s="62">
        <f>AP20*Site_Poids_diagnostic</f>
        <v/>
      </c>
      <c r="AV20" s="62">
        <f>AP20*AQ20</f>
        <v/>
      </c>
      <c r="AW20" s="62">
        <f>SUM(AR20:AV20)</f>
        <v/>
      </c>
      <c r="AX20" s="64">
        <f>5</f>
        <v/>
      </c>
      <c r="AY20" s="65">
        <f>MIN(0.9,MAX(0,AX20-1)*Site_Remise_par_module_ajoute)</f>
        <v/>
      </c>
      <c r="AZ20" s="62">
        <f>MAX(AR20:AV20)*AY20</f>
        <v/>
      </c>
      <c r="BA20" s="62">
        <f>AW20-AZ20</f>
        <v/>
      </c>
      <c r="BB20" s="65">
        <f>IFERROR(VLOOKUP($B$3,Table_engagements,2,FALSE),0)</f>
        <v/>
      </c>
      <c r="BC20" s="62">
        <f>BA20*BB20</f>
        <v/>
      </c>
      <c r="BD20" s="62">
        <f>BA20-BC20</f>
        <v/>
      </c>
      <c r="BE20" s="62">
        <f>BD20*12</f>
        <v/>
      </c>
      <c r="BF20" s="62">
        <f>IF(AO20&lt;Site_Mise_en_service_offerte_sous,0,BD20*Site_Mise_en_service_mois)</f>
        <v/>
      </c>
      <c r="BG20" s="62">
        <f>BF20+BE20*IF(N($B$3)&gt;0,$B$3,1)</f>
        <v/>
      </c>
      <c r="BH20" s="66">
        <f>IF(BG20&gt;=Seuil_3,"Procédure formalisée",IF(BG20&gt;=Seuil_2,"Publicité obligatoire",IF(BG20&gt;=Seuil_1,"Procédure adaptée","Sous les seuils")))</f>
        <v/>
      </c>
    </row>
    <row r="21">
      <c r="A21" s="15" t="inlineStr">
        <is>
          <t>Métropole</t>
        </is>
      </c>
      <c r="B21" s="14" t="n">
        <v>2500000</v>
      </c>
      <c r="C21" s="60">
        <f>U21</f>
        <v/>
      </c>
      <c r="D21" s="60">
        <f>W21*(1-AG21)</f>
        <v/>
      </c>
      <c r="E21" s="60">
        <f>X21*(1-AG21)</f>
        <v/>
      </c>
      <c r="F21" s="60">
        <f>Y21*(1-AG21)</f>
        <v/>
      </c>
      <c r="G21" s="60">
        <f>Z21*(1-AG21)</f>
        <v/>
      </c>
      <c r="H21" s="60">
        <f>AA21*(1-AG21)</f>
        <v/>
      </c>
      <c r="I21" s="47">
        <f>AI21</f>
        <v/>
      </c>
      <c r="J21" s="42">
        <f>AK21</f>
        <v/>
      </c>
      <c r="K21" s="42">
        <f>AL21</f>
        <v/>
      </c>
      <c r="L21" s="61">
        <f>AM21</f>
        <v/>
      </c>
      <c r="M21" s="16">
        <f>BD21</f>
        <v/>
      </c>
      <c r="N21" s="43">
        <f>AI21-BD21</f>
        <v/>
      </c>
      <c r="O21" s="53">
        <f>IF(BD21=0,0,AI21/BD21-1)</f>
        <v/>
      </c>
      <c r="T21" s="58">
        <f>MIN(Population_maximum,MAX(Population_minimum,ROUND($B21,0)))</f>
        <v/>
      </c>
      <c r="U21" s="62">
        <f>Prix_ancre*(T21/Population_ancre)^Exposant</f>
        <v/>
      </c>
      <c r="V21" s="63">
        <f>IF(T21&lt;=Chantiers_demi_poids_sous,Poids_chantiers/2,IF(T21&gt;=Chantiers_plein_poids_des,Poids_chantiers,Poids_chantiers*(0.5+0.5*(LN(T21)-LN(Chantiers_demi_poids_sous))/(LN(Chantiers_plein_poids_des)-LN(Chantiers_demi_poids_sous)))))</f>
        <v/>
      </c>
      <c r="W21" s="62">
        <f>U21*Poids_carte</f>
        <v/>
      </c>
      <c r="X21" s="62">
        <f>U21*Poids_travaux</f>
        <v/>
      </c>
      <c r="Y21" s="62">
        <f>U21*Poids_participer</f>
        <v/>
      </c>
      <c r="Z21" s="62">
        <f>U21*Poids_diagnostic</f>
        <v/>
      </c>
      <c r="AA21" s="62">
        <f>U21*V21</f>
        <v/>
      </c>
      <c r="AB21" s="62">
        <f>SUM(W21:AA21)</f>
        <v/>
      </c>
      <c r="AC21" s="64">
        <f>5</f>
        <v/>
      </c>
      <c r="AD21" s="65">
        <f>MIN(0.9,MAX(0,AC21-1)*Remise_par_module_ajoute)</f>
        <v/>
      </c>
      <c r="AE21" s="62">
        <f>MAX(W21:AA21)*AD21</f>
        <v/>
      </c>
      <c r="AF21" s="62">
        <f>AB21-AE21</f>
        <v/>
      </c>
      <c r="AG21" s="65">
        <f>IFERROR(VLOOKUP($B$3,Table_engagements,3,FALSE),0)</f>
        <v/>
      </c>
      <c r="AH21" s="62">
        <f>AF21*AG21</f>
        <v/>
      </c>
      <c r="AI21" s="62">
        <f>AF21-AH21</f>
        <v/>
      </c>
      <c r="AJ21" s="62">
        <f>AI21*12</f>
        <v/>
      </c>
      <c r="AK21" s="62">
        <f>IF(T21&lt;Mise_en_service_offerte_sous,0,AI21*Mise_en_service_mois)</f>
        <v/>
      </c>
      <c r="AL21" s="62">
        <f>AK21+AJ21*IF(N($B$3)&gt;0,$B$3,1)</f>
        <v/>
      </c>
      <c r="AM21" s="66">
        <f>IF(AL21&gt;=Seuil_3,"Procédure formalisée",IF(AL21&gt;=Seuil_2,"Publicité obligatoire",IF(AL21&gt;=Seuil_1,"Procédure adaptée","Sous les seuils")))</f>
        <v/>
      </c>
      <c r="AO21" s="58">
        <f>MIN(Site_Population_maximum,MAX(Site_Population_minimum,ROUND($B21,0)))</f>
        <v/>
      </c>
      <c r="AP21" s="62">
        <f>Site_Prix_ancre*(AO21/Site_Population_ancre)^Site_Exposant</f>
        <v/>
      </c>
      <c r="AQ21" s="63">
        <f>IF(AO21&lt;=Site_Chantiers_demi_poids_sous,Site_Poids_chantiers/2,IF(AO21&gt;=Site_Chantiers_plein_poids_des,Site_Poids_chantiers,Site_Poids_chantiers*(0.5+0.5*(LN(AO21)-LN(Site_Chantiers_demi_poids_sous))/(LN(Site_Chantiers_plein_poids_des)-LN(Site_Chantiers_demi_poids_sous)))))</f>
        <v/>
      </c>
      <c r="AR21" s="62">
        <f>AP21*Site_Poids_carte</f>
        <v/>
      </c>
      <c r="AS21" s="62">
        <f>AP21*Site_Poids_travaux</f>
        <v/>
      </c>
      <c r="AT21" s="62">
        <f>AP21*Site_Poids_participer</f>
        <v/>
      </c>
      <c r="AU21" s="62">
        <f>AP21*Site_Poids_diagnostic</f>
        <v/>
      </c>
      <c r="AV21" s="62">
        <f>AP21*AQ21</f>
        <v/>
      </c>
      <c r="AW21" s="62">
        <f>SUM(AR21:AV21)</f>
        <v/>
      </c>
      <c r="AX21" s="64">
        <f>5</f>
        <v/>
      </c>
      <c r="AY21" s="65">
        <f>MIN(0.9,MAX(0,AX21-1)*Site_Remise_par_module_ajoute)</f>
        <v/>
      </c>
      <c r="AZ21" s="62">
        <f>MAX(AR21:AV21)*AY21</f>
        <v/>
      </c>
      <c r="BA21" s="62">
        <f>AW21-AZ21</f>
        <v/>
      </c>
      <c r="BB21" s="65">
        <f>IFERROR(VLOOKUP($B$3,Table_engagements,2,FALSE),0)</f>
        <v/>
      </c>
      <c r="BC21" s="62">
        <f>BA21*BB21</f>
        <v/>
      </c>
      <c r="BD21" s="62">
        <f>BA21-BC21</f>
        <v/>
      </c>
      <c r="BE21" s="62">
        <f>BD21*12</f>
        <v/>
      </c>
      <c r="BF21" s="62">
        <f>IF(AO21&lt;Site_Mise_en_service_offerte_sous,0,BD21*Site_Mise_en_service_mois)</f>
        <v/>
      </c>
      <c r="BG21" s="62">
        <f>BF21+BE21*IF(N($B$3)&gt;0,$B$3,1)</f>
        <v/>
      </c>
      <c r="BH21" s="66">
        <f>IF(BG21&gt;=Seuil_3,"Procédure formalisée",IF(BG21&gt;=Seuil_2,"Publicité obligatoire",IF(BG21&gt;=Seuil_1,"Procédure adaptée","Sous les seuils")))</f>
        <v/>
      </c>
    </row>
    <row r="23">
      <c r="A23" s="7" t="inlineStr">
        <is>
          <t>Les colonnes de calcul détaillé sont repliées à droite de la feuille : le bouton « + » au-dessus des colonnes les déplie si vous voulez vérifier un chiffre.</t>
        </is>
      </c>
    </row>
  </sheetData>
  <sheetProtection selectLockedCells="0" selectUnlockedCells="0" sheet="1" objects="0" insertRows="1" insertHyperlinks="1" autoFilter="0" scenarios="0" formatColumns="0" deleteColumns="1" insertColumns="1" pivotTables="1" deleteRows="1" formatCells="1" formatRows="0" sort="0"/>
  <mergeCells count="2">
    <mergeCell ref="A2:L2"/>
    <mergeCell ref="A23:L23"/>
  </mergeCells>
  <conditionalFormatting sqref="N6:O21">
    <cfRule type="cellIs" priority="1" operator="greaterThan" dxfId="0">
      <formula>0</formula>
    </cfRule>
    <cfRule type="cellIs" priority="2" operator="lessThan" dxfId="1">
      <formula>0</formula>
    </cfRule>
  </conditionalFormatting>
  <dataValidations count="1">
    <dataValidation sqref="B3" showDropDown="0" showInputMessage="0" showErrorMessage="0" allowBlank="0" type="list">
      <formula1>"1,2,3,4"</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0"/>
    <pageSetUpPr/>
  </sheetPr>
  <dimension ref="A1:BG24"/>
  <sheetViews>
    <sheetView showGridLines="0" workbookViewId="0">
      <pane xSplit="2" ySplit="4" topLeftCell="C5" activePane="bottomRight" state="frozen"/>
      <selection pane="topRight"/>
      <selection pane="bottomLeft"/>
      <selection pane="bottomRight" activeCell="A1" sqref="A1"/>
    </sheetView>
  </sheetViews>
  <sheetFormatPr baseColWidth="8" defaultRowHeight="15"/>
  <cols>
    <col width="26" customWidth="1" min="1" max="1"/>
    <col width="11" customWidth="1" min="2" max="2"/>
    <col width="13" customWidth="1" min="3" max="3"/>
    <col width="13" customWidth="1" min="4" max="4"/>
    <col width="13" customWidth="1" min="5" max="5"/>
    <col width="13" customWidth="1" min="6" max="6"/>
    <col width="13" customWidth="1" min="7" max="7"/>
    <col width="12" customWidth="1" min="8" max="8"/>
    <col width="14" customWidth="1" min="9" max="9"/>
    <col width="14" customWidth="1" min="10" max="10"/>
    <col width="14" customWidth="1" min="11" max="11"/>
    <col width="16" customWidth="1" min="12" max="12"/>
    <col width="20" customWidth="1" min="13" max="13"/>
    <col width="14" customWidth="1" min="14" max="14"/>
    <col width="14" customWidth="1" min="15" max="15"/>
    <col width="13" customWidth="1" min="16" max="16"/>
    <col width="10" customWidth="1" min="17" max="17"/>
    <col width="3" customWidth="1" min="18" max="18"/>
    <col hidden="1" outlineLevel="1" width="14" customWidth="1" min="19" max="19"/>
    <col hidden="1" outlineLevel="1" width="14" customWidth="1" min="20" max="20"/>
    <col hidden="1" outlineLevel="1" width="14" customWidth="1" min="21" max="21"/>
    <col hidden="1" outlineLevel="1" width="14" customWidth="1" min="22" max="22"/>
    <col hidden="1" outlineLevel="1" width="14" customWidth="1" min="23" max="23"/>
    <col hidden="1" outlineLevel="1" width="14" customWidth="1" min="24" max="24"/>
    <col hidden="1" outlineLevel="1" width="14" customWidth="1" min="25" max="25"/>
    <col hidden="1" outlineLevel="1" width="14" customWidth="1" min="26" max="26"/>
    <col hidden="1" outlineLevel="1" width="14" customWidth="1" min="27" max="27"/>
    <col hidden="1" outlineLevel="1" width="14" customWidth="1" min="28" max="28"/>
    <col hidden="1" outlineLevel="1" width="14" customWidth="1" min="29" max="29"/>
    <col hidden="1" outlineLevel="1" width="14" customWidth="1" min="30" max="30"/>
    <col hidden="1" outlineLevel="1" width="14" customWidth="1" min="31" max="31"/>
    <col hidden="1" outlineLevel="1" width="14" customWidth="1" min="32" max="32"/>
    <col hidden="1" outlineLevel="1" width="14" customWidth="1" min="33" max="33"/>
    <col hidden="1" outlineLevel="1" width="14" customWidth="1" min="34" max="34"/>
    <col hidden="1" outlineLevel="1" width="14" customWidth="1" min="35" max="35"/>
    <col hidden="1" outlineLevel="1" width="14" customWidth="1" min="36" max="36"/>
    <col hidden="1" outlineLevel="1" width="14" customWidth="1" min="37" max="37"/>
    <col hidden="1" outlineLevel="1" width="14" customWidth="1" min="38" max="38"/>
    <col hidden="1" outlineLevel="1" width="14" customWidth="1" min="40" max="40"/>
    <col hidden="1" outlineLevel="1" width="14" customWidth="1" min="41" max="41"/>
    <col hidden="1" outlineLevel="1" width="14" customWidth="1" min="42" max="42"/>
    <col hidden="1" outlineLevel="1" width="14" customWidth="1" min="43" max="43"/>
    <col hidden="1" outlineLevel="1" width="14" customWidth="1" min="44" max="44"/>
    <col hidden="1" outlineLevel="1" width="14" customWidth="1" min="45" max="45"/>
    <col hidden="1" outlineLevel="1" width="14" customWidth="1" min="46" max="46"/>
    <col hidden="1" outlineLevel="1" width="14" customWidth="1" min="47" max="47"/>
    <col hidden="1" outlineLevel="1" width="14" customWidth="1" min="48" max="48"/>
    <col hidden="1" outlineLevel="1" width="14" customWidth="1" min="49" max="49"/>
    <col hidden="1" outlineLevel="1" width="14" customWidth="1" min="50" max="50"/>
    <col hidden="1" outlineLevel="1" width="14" customWidth="1" min="51" max="51"/>
    <col hidden="1" outlineLevel="1" width="14" customWidth="1" min="52" max="52"/>
    <col hidden="1" outlineLevel="1" width="14" customWidth="1" min="53" max="53"/>
    <col hidden="1" outlineLevel="1" width="14" customWidth="1" min="54" max="54"/>
    <col hidden="1" outlineLevel="1" width="14" customWidth="1" min="55" max="55"/>
    <col hidden="1" outlineLevel="1" width="14" customWidth="1" min="56" max="56"/>
    <col hidden="1" outlineLevel="1" width="14" customWidth="1" min="57" max="57"/>
    <col hidden="1" outlineLevel="1" width="14" customWidth="1" min="58" max="58"/>
    <col hidden="1" outlineLevel="1" width="14" customWidth="1" min="59" max="59"/>
  </cols>
  <sheetData>
    <row r="1">
      <c r="A1" s="1" t="inlineStr">
        <is>
          <t>Scénarios : vos cas concrets, proposition et site côte à côte</t>
        </is>
      </c>
    </row>
    <row r="2" ht="34" customHeight="1">
      <c r="A2" s="7" t="inlineStr">
        <is>
          <t>Une ligne par cas : le nom de la commune ou du prospect, sa population, Oui ou Non pour chaque module, la durée d'engagement. Le prix se calcule avec votre proposition, puis avec la grille du site, et l'écart s'affiche. Remplacez les exemples par vos dossiers en cours.</t>
        </is>
      </c>
    </row>
    <row r="4" ht="46" customHeight="1">
      <c r="A4" s="8" t="inlineStr">
        <is>
          <t>Commune ou prospect</t>
        </is>
      </c>
      <c r="B4" s="8" t="inlineStr">
        <is>
          <t>Habitants</t>
        </is>
      </c>
      <c r="C4" s="8" t="inlineStr">
        <is>
          <t>Carte des projets</t>
        </is>
      </c>
      <c r="D4" s="8" t="inlineStr">
        <is>
          <t>Travaux du quotidien</t>
        </is>
      </c>
      <c r="E4" s="8" t="inlineStr">
        <is>
          <t>Participer</t>
        </is>
      </c>
      <c r="F4" s="8" t="inlineStr">
        <is>
          <t>Diagnostic terrain</t>
        </is>
      </c>
      <c r="G4" s="8" t="inlineStr">
        <is>
          <t>Chantiers et arrêtés</t>
        </is>
      </c>
      <c r="H4" s="8" t="inlineStr">
        <is>
          <t>Engagement (années)</t>
        </is>
      </c>
      <c r="I4" s="8" t="inlineStr">
        <is>
          <t>Mensuel proposé</t>
        </is>
      </c>
      <c r="J4" s="8" t="inlineStr">
        <is>
          <t>Annuel proposé</t>
        </is>
      </c>
      <c r="K4" s="8" t="inlineStr">
        <is>
          <t>Mise en service proposée</t>
        </is>
      </c>
      <c r="L4" s="8" t="inlineStr">
        <is>
          <t>Total proposé sur la durée</t>
        </is>
      </c>
      <c r="M4" s="8" t="inlineStr">
        <is>
          <t>Seuil dépassé</t>
        </is>
      </c>
      <c r="N4" s="8" t="inlineStr">
        <is>
          <t>Mensuel sur le site</t>
        </is>
      </c>
      <c r="O4" s="8" t="inlineStr">
        <is>
          <t>Total sur le site</t>
        </is>
      </c>
      <c r="P4" s="8" t="inlineStr">
        <is>
          <t>Écart par mois</t>
        </is>
      </c>
      <c r="Q4" s="8" t="inlineStr">
        <is>
          <t>Écart en %</t>
        </is>
      </c>
      <c r="S4" s="59" t="inlineStr">
        <is>
          <t>Proposition : Population retenue</t>
        </is>
      </c>
      <c r="T4" s="59" t="inlineStr">
        <is>
          <t>Proposition : Prix d'une unité de poids</t>
        </is>
      </c>
      <c r="U4" s="59" t="inlineStr">
        <is>
          <t>Proposition : Poids chantiers</t>
        </is>
      </c>
      <c r="V4" s="59" t="inlineStr">
        <is>
          <t>Proposition : Prix Carte des projets</t>
        </is>
      </c>
      <c r="W4" s="59" t="inlineStr">
        <is>
          <t>Proposition : Prix Travaux du quotidien</t>
        </is>
      </c>
      <c r="X4" s="59" t="inlineStr">
        <is>
          <t>Proposition : Prix Participer</t>
        </is>
      </c>
      <c r="Y4" s="59" t="inlineStr">
        <is>
          <t>Proposition : Prix Diagnostic terrain</t>
        </is>
      </c>
      <c r="Z4" s="59" t="inlineStr">
        <is>
          <t>Proposition : Prix Chantiers et arrêtés</t>
        </is>
      </c>
      <c r="AA4" s="59" t="inlineStr">
        <is>
          <t>Proposition : Total avant remises</t>
        </is>
      </c>
      <c r="AB4" s="59" t="inlineStr">
        <is>
          <t>Proposition : Modules retenus</t>
        </is>
      </c>
      <c r="AC4" s="59" t="inlineStr">
        <is>
          <t>Proposition : Taux de remise multi-modules</t>
        </is>
      </c>
      <c r="AD4" s="59" t="inlineStr">
        <is>
          <t>Proposition : Remise multi-modules</t>
        </is>
      </c>
      <c r="AE4" s="59" t="inlineStr">
        <is>
          <t>Proposition : Après remise multi-modules</t>
        </is>
      </c>
      <c r="AF4" s="59" t="inlineStr">
        <is>
          <t>Proposition : Taux engagement</t>
        </is>
      </c>
      <c r="AG4" s="59" t="inlineStr">
        <is>
          <t>Proposition : Remise engagement</t>
        </is>
      </c>
      <c r="AH4" s="59" t="inlineStr">
        <is>
          <t>Proposition : Mensuel</t>
        </is>
      </c>
      <c r="AI4" s="59" t="inlineStr">
        <is>
          <t>Proposition : Annuel</t>
        </is>
      </c>
      <c r="AJ4" s="59" t="inlineStr">
        <is>
          <t>Proposition : Mise en service</t>
        </is>
      </c>
      <c r="AK4" s="59" t="inlineStr">
        <is>
          <t>Proposition : Total sur la durée</t>
        </is>
      </c>
      <c r="AL4" s="59" t="inlineStr">
        <is>
          <t>Proposition : Seuil</t>
        </is>
      </c>
      <c r="AN4" s="59" t="inlineStr">
        <is>
          <t>Site : Population retenue</t>
        </is>
      </c>
      <c r="AO4" s="59" t="inlineStr">
        <is>
          <t>Site : Prix d'une unité de poids</t>
        </is>
      </c>
      <c r="AP4" s="59" t="inlineStr">
        <is>
          <t>Site : Poids chantiers</t>
        </is>
      </c>
      <c r="AQ4" s="59" t="inlineStr">
        <is>
          <t>Site : Prix Carte des projets</t>
        </is>
      </c>
      <c r="AR4" s="59" t="inlineStr">
        <is>
          <t>Site : Prix Travaux du quotidien</t>
        </is>
      </c>
      <c r="AS4" s="59" t="inlineStr">
        <is>
          <t>Site : Prix Participer</t>
        </is>
      </c>
      <c r="AT4" s="59" t="inlineStr">
        <is>
          <t>Site : Prix Diagnostic terrain</t>
        </is>
      </c>
      <c r="AU4" s="59" t="inlineStr">
        <is>
          <t>Site : Prix Chantiers et arrêtés</t>
        </is>
      </c>
      <c r="AV4" s="59" t="inlineStr">
        <is>
          <t>Site : Total avant remises</t>
        </is>
      </c>
      <c r="AW4" s="59" t="inlineStr">
        <is>
          <t>Site : Modules retenus</t>
        </is>
      </c>
      <c r="AX4" s="59" t="inlineStr">
        <is>
          <t>Site : Taux de remise multi-modules</t>
        </is>
      </c>
      <c r="AY4" s="59" t="inlineStr">
        <is>
          <t>Site : Remise multi-modules</t>
        </is>
      </c>
      <c r="AZ4" s="59" t="inlineStr">
        <is>
          <t>Site : Après remise multi-modules</t>
        </is>
      </c>
      <c r="BA4" s="59" t="inlineStr">
        <is>
          <t>Site : Taux engagement</t>
        </is>
      </c>
      <c r="BB4" s="59" t="inlineStr">
        <is>
          <t>Site : Remise engagement</t>
        </is>
      </c>
      <c r="BC4" s="59" t="inlineStr">
        <is>
          <t>Site : Mensuel</t>
        </is>
      </c>
      <c r="BD4" s="59" t="inlineStr">
        <is>
          <t>Site : Annuel</t>
        </is>
      </c>
      <c r="BE4" s="59" t="inlineStr">
        <is>
          <t>Site : Mise en service</t>
        </is>
      </c>
      <c r="BF4" s="59" t="inlineStr">
        <is>
          <t>Site : Total sur la durée</t>
        </is>
      </c>
      <c r="BG4" s="59" t="inlineStr">
        <is>
          <t>Site : Seuil</t>
        </is>
      </c>
    </row>
    <row r="5">
      <c r="A5" s="15" t="inlineStr">
        <is>
          <t>Village, carte seule</t>
        </is>
      </c>
      <c r="B5" s="14" t="n">
        <v>800</v>
      </c>
      <c r="C5" s="40" t="inlineStr">
        <is>
          <t>Oui</t>
        </is>
      </c>
      <c r="D5" s="40" t="inlineStr">
        <is>
          <t>Non</t>
        </is>
      </c>
      <c r="E5" s="40" t="inlineStr">
        <is>
          <t>Non</t>
        </is>
      </c>
      <c r="F5" s="40" t="inlineStr">
        <is>
          <t>Non</t>
        </is>
      </c>
      <c r="G5" s="40" t="inlineStr">
        <is>
          <t>Non</t>
        </is>
      </c>
      <c r="H5" s="41" t="n">
        <v>3</v>
      </c>
      <c r="I5" s="47">
        <f>IF($B5="","",AH5)</f>
        <v/>
      </c>
      <c r="J5" s="42">
        <f>IF($B5="","",AI5)</f>
        <v/>
      </c>
      <c r="K5" s="42">
        <f>IF($B5="","",AJ5)</f>
        <v/>
      </c>
      <c r="L5" s="47">
        <f>IF($B5="","",AK5)</f>
        <v/>
      </c>
      <c r="M5" s="67">
        <f>IF($B5="","",AL5)</f>
        <v/>
      </c>
      <c r="N5" s="16">
        <f>IF($B5="","",BC5)</f>
        <v/>
      </c>
      <c r="O5" s="16">
        <f>IF($B5="","",BF5)</f>
        <v/>
      </c>
      <c r="P5" s="43">
        <f>IF($B5="","",AH5-BC5)</f>
        <v/>
      </c>
      <c r="Q5" s="53">
        <f>IF(OR($B5="",BC5=0),"",AH5/BC5-1)</f>
        <v/>
      </c>
      <c r="S5" s="58">
        <f>MIN(Population_maximum,MAX(Population_minimum,ROUND($B5,0)))</f>
        <v/>
      </c>
      <c r="T5" s="62">
        <f>Prix_ancre*(S5/Population_ancre)^Exposant</f>
        <v/>
      </c>
      <c r="U5" s="63">
        <f>IF(S5&lt;=Chantiers_demi_poids_sous,Poids_chantiers/2,IF(S5&gt;=Chantiers_plein_poids_des,Poids_chantiers,Poids_chantiers*(0.5+0.5*(LN(S5)-LN(Chantiers_demi_poids_sous))/(LN(Chantiers_plein_poids_des)-LN(Chantiers_demi_poids_sous)))))</f>
        <v/>
      </c>
      <c r="V5" s="62">
        <f>IF($C5="Oui",T5*Poids_carte,0)</f>
        <v/>
      </c>
      <c r="W5" s="62">
        <f>IF($D5="Oui",T5*Poids_travaux,0)</f>
        <v/>
      </c>
      <c r="X5" s="62">
        <f>IF($E5="Oui",T5*Poids_participer,0)</f>
        <v/>
      </c>
      <c r="Y5" s="62">
        <f>IF($F5="Oui",T5*Poids_diagnostic,0)</f>
        <v/>
      </c>
      <c r="Z5" s="62">
        <f>IF($G5="Oui",T5*U5,0)</f>
        <v/>
      </c>
      <c r="AA5" s="62">
        <f>SUM(V5:Z5)</f>
        <v/>
      </c>
      <c r="AB5" s="64">
        <f>COUNTIF($C5:$G5,"Oui")</f>
        <v/>
      </c>
      <c r="AC5" s="65">
        <f>MIN(0.9,MAX(0,AB5-1)*Remise_par_module_ajoute)</f>
        <v/>
      </c>
      <c r="AD5" s="62">
        <f>MAX(V5:Z5)*AC5</f>
        <v/>
      </c>
      <c r="AE5" s="62">
        <f>AA5-AD5</f>
        <v/>
      </c>
      <c r="AF5" s="65">
        <f>IFERROR(VLOOKUP($H5,Table_engagements,3,FALSE),0)</f>
        <v/>
      </c>
      <c r="AG5" s="62">
        <f>AE5*AF5</f>
        <v/>
      </c>
      <c r="AH5" s="62">
        <f>AE5-AG5</f>
        <v/>
      </c>
      <c r="AI5" s="62">
        <f>AH5*12</f>
        <v/>
      </c>
      <c r="AJ5" s="62">
        <f>IF(S5&lt;Mise_en_service_offerte_sous,0,AH5*Mise_en_service_mois)</f>
        <v/>
      </c>
      <c r="AK5" s="62">
        <f>AJ5+AI5*IF(N($H5)&gt;0,$H5,1)</f>
        <v/>
      </c>
      <c r="AL5" s="66">
        <f>IF(AK5&gt;=Seuil_3,"Procédure formalisée",IF(AK5&gt;=Seuil_2,"Publicité obligatoire",IF(AK5&gt;=Seuil_1,"Procédure adaptée","Sous les seuils")))</f>
        <v/>
      </c>
      <c r="AN5" s="58">
        <f>MIN(Site_Population_maximum,MAX(Site_Population_minimum,ROUND($B5,0)))</f>
        <v/>
      </c>
      <c r="AO5" s="62">
        <f>Site_Prix_ancre*(AN5/Site_Population_ancre)^Site_Exposant</f>
        <v/>
      </c>
      <c r="AP5" s="63">
        <f>IF(AN5&lt;=Site_Chantiers_demi_poids_sous,Site_Poids_chantiers/2,IF(AN5&gt;=Site_Chantiers_plein_poids_des,Site_Poids_chantiers,Site_Poids_chantiers*(0.5+0.5*(LN(AN5)-LN(Site_Chantiers_demi_poids_sous))/(LN(Site_Chantiers_plein_poids_des)-LN(Site_Chantiers_demi_poids_sous)))))</f>
        <v/>
      </c>
      <c r="AQ5" s="62">
        <f>IF($C5="Oui",AO5*Site_Poids_carte,0)</f>
        <v/>
      </c>
      <c r="AR5" s="62">
        <f>IF($D5="Oui",AO5*Site_Poids_travaux,0)</f>
        <v/>
      </c>
      <c r="AS5" s="62">
        <f>IF($E5="Oui",AO5*Site_Poids_participer,0)</f>
        <v/>
      </c>
      <c r="AT5" s="62">
        <f>IF($F5="Oui",AO5*Site_Poids_diagnostic,0)</f>
        <v/>
      </c>
      <c r="AU5" s="62">
        <f>IF($G5="Oui",AO5*AP5,0)</f>
        <v/>
      </c>
      <c r="AV5" s="62">
        <f>SUM(AQ5:AU5)</f>
        <v/>
      </c>
      <c r="AW5" s="64">
        <f>COUNTIF($C5:$G5,"Oui")</f>
        <v/>
      </c>
      <c r="AX5" s="65">
        <f>MIN(0.9,MAX(0,AW5-1)*Site_Remise_par_module_ajoute)</f>
        <v/>
      </c>
      <c r="AY5" s="62">
        <f>MAX(AQ5:AU5)*AX5</f>
        <v/>
      </c>
      <c r="AZ5" s="62">
        <f>AV5-AY5</f>
        <v/>
      </c>
      <c r="BA5" s="65">
        <f>IFERROR(VLOOKUP($H5,Table_engagements,2,FALSE),0)</f>
        <v/>
      </c>
      <c r="BB5" s="62">
        <f>AZ5*BA5</f>
        <v/>
      </c>
      <c r="BC5" s="62">
        <f>AZ5-BB5</f>
        <v/>
      </c>
      <c r="BD5" s="62">
        <f>BC5*12</f>
        <v/>
      </c>
      <c r="BE5" s="62">
        <f>IF(AN5&lt;Site_Mise_en_service_offerte_sous,0,BC5*Site_Mise_en_service_mois)</f>
        <v/>
      </c>
      <c r="BF5" s="62">
        <f>BE5+BD5*IF(N($H5)&gt;0,$H5,1)</f>
        <v/>
      </c>
      <c r="BG5" s="66">
        <f>IF(BF5&gt;=Seuil_3,"Procédure formalisée",IF(BF5&gt;=Seuil_2,"Publicité obligatoire",IF(BF5&gt;=Seuil_1,"Procédure adaptée","Sous les seuils")))</f>
        <v/>
      </c>
    </row>
    <row r="6">
      <c r="A6" s="15" t="inlineStr">
        <is>
          <t>Bourg, carte et travaux</t>
        </is>
      </c>
      <c r="B6" s="14" t="n">
        <v>3000</v>
      </c>
      <c r="C6" s="40" t="inlineStr">
        <is>
          <t>Oui</t>
        </is>
      </c>
      <c r="D6" s="40" t="inlineStr">
        <is>
          <t>Oui</t>
        </is>
      </c>
      <c r="E6" s="40" t="inlineStr">
        <is>
          <t>Non</t>
        </is>
      </c>
      <c r="F6" s="40" t="inlineStr">
        <is>
          <t>Non</t>
        </is>
      </c>
      <c r="G6" s="40" t="inlineStr">
        <is>
          <t>Non</t>
        </is>
      </c>
      <c r="H6" s="41" t="n">
        <v>3</v>
      </c>
      <c r="I6" s="47">
        <f>IF($B6="","",AH6)</f>
        <v/>
      </c>
      <c r="J6" s="42">
        <f>IF($B6="","",AI6)</f>
        <v/>
      </c>
      <c r="K6" s="42">
        <f>IF($B6="","",AJ6)</f>
        <v/>
      </c>
      <c r="L6" s="47">
        <f>IF($B6="","",AK6)</f>
        <v/>
      </c>
      <c r="M6" s="67">
        <f>IF($B6="","",AL6)</f>
        <v/>
      </c>
      <c r="N6" s="16">
        <f>IF($B6="","",BC6)</f>
        <v/>
      </c>
      <c r="O6" s="16">
        <f>IF($B6="","",BF6)</f>
        <v/>
      </c>
      <c r="P6" s="43">
        <f>IF($B6="","",AH6-BC6)</f>
        <v/>
      </c>
      <c r="Q6" s="53">
        <f>IF(OR($B6="",BC6=0),"",AH6/BC6-1)</f>
        <v/>
      </c>
      <c r="S6" s="58">
        <f>MIN(Population_maximum,MAX(Population_minimum,ROUND($B6,0)))</f>
        <v/>
      </c>
      <c r="T6" s="62">
        <f>Prix_ancre*(S6/Population_ancre)^Exposant</f>
        <v/>
      </c>
      <c r="U6" s="63">
        <f>IF(S6&lt;=Chantiers_demi_poids_sous,Poids_chantiers/2,IF(S6&gt;=Chantiers_plein_poids_des,Poids_chantiers,Poids_chantiers*(0.5+0.5*(LN(S6)-LN(Chantiers_demi_poids_sous))/(LN(Chantiers_plein_poids_des)-LN(Chantiers_demi_poids_sous)))))</f>
        <v/>
      </c>
      <c r="V6" s="62">
        <f>IF($C6="Oui",T6*Poids_carte,0)</f>
        <v/>
      </c>
      <c r="W6" s="62">
        <f>IF($D6="Oui",T6*Poids_travaux,0)</f>
        <v/>
      </c>
      <c r="X6" s="62">
        <f>IF($E6="Oui",T6*Poids_participer,0)</f>
        <v/>
      </c>
      <c r="Y6" s="62">
        <f>IF($F6="Oui",T6*Poids_diagnostic,0)</f>
        <v/>
      </c>
      <c r="Z6" s="62">
        <f>IF($G6="Oui",T6*U6,0)</f>
        <v/>
      </c>
      <c r="AA6" s="62">
        <f>SUM(V6:Z6)</f>
        <v/>
      </c>
      <c r="AB6" s="64">
        <f>COUNTIF($C6:$G6,"Oui")</f>
        <v/>
      </c>
      <c r="AC6" s="65">
        <f>MIN(0.9,MAX(0,AB6-1)*Remise_par_module_ajoute)</f>
        <v/>
      </c>
      <c r="AD6" s="62">
        <f>MAX(V6:Z6)*AC6</f>
        <v/>
      </c>
      <c r="AE6" s="62">
        <f>AA6-AD6</f>
        <v/>
      </c>
      <c r="AF6" s="65">
        <f>IFERROR(VLOOKUP($H6,Table_engagements,3,FALSE),0)</f>
        <v/>
      </c>
      <c r="AG6" s="62">
        <f>AE6*AF6</f>
        <v/>
      </c>
      <c r="AH6" s="62">
        <f>AE6-AG6</f>
        <v/>
      </c>
      <c r="AI6" s="62">
        <f>AH6*12</f>
        <v/>
      </c>
      <c r="AJ6" s="62">
        <f>IF(S6&lt;Mise_en_service_offerte_sous,0,AH6*Mise_en_service_mois)</f>
        <v/>
      </c>
      <c r="AK6" s="62">
        <f>AJ6+AI6*IF(N($H6)&gt;0,$H6,1)</f>
        <v/>
      </c>
      <c r="AL6" s="66">
        <f>IF(AK6&gt;=Seuil_3,"Procédure formalisée",IF(AK6&gt;=Seuil_2,"Publicité obligatoire",IF(AK6&gt;=Seuil_1,"Procédure adaptée","Sous les seuils")))</f>
        <v/>
      </c>
      <c r="AN6" s="58">
        <f>MIN(Site_Population_maximum,MAX(Site_Population_minimum,ROUND($B6,0)))</f>
        <v/>
      </c>
      <c r="AO6" s="62">
        <f>Site_Prix_ancre*(AN6/Site_Population_ancre)^Site_Exposant</f>
        <v/>
      </c>
      <c r="AP6" s="63">
        <f>IF(AN6&lt;=Site_Chantiers_demi_poids_sous,Site_Poids_chantiers/2,IF(AN6&gt;=Site_Chantiers_plein_poids_des,Site_Poids_chantiers,Site_Poids_chantiers*(0.5+0.5*(LN(AN6)-LN(Site_Chantiers_demi_poids_sous))/(LN(Site_Chantiers_plein_poids_des)-LN(Site_Chantiers_demi_poids_sous)))))</f>
        <v/>
      </c>
      <c r="AQ6" s="62">
        <f>IF($C6="Oui",AO6*Site_Poids_carte,0)</f>
        <v/>
      </c>
      <c r="AR6" s="62">
        <f>IF($D6="Oui",AO6*Site_Poids_travaux,0)</f>
        <v/>
      </c>
      <c r="AS6" s="62">
        <f>IF($E6="Oui",AO6*Site_Poids_participer,0)</f>
        <v/>
      </c>
      <c r="AT6" s="62">
        <f>IF($F6="Oui",AO6*Site_Poids_diagnostic,0)</f>
        <v/>
      </c>
      <c r="AU6" s="62">
        <f>IF($G6="Oui",AO6*AP6,0)</f>
        <v/>
      </c>
      <c r="AV6" s="62">
        <f>SUM(AQ6:AU6)</f>
        <v/>
      </c>
      <c r="AW6" s="64">
        <f>COUNTIF($C6:$G6,"Oui")</f>
        <v/>
      </c>
      <c r="AX6" s="65">
        <f>MIN(0.9,MAX(0,AW6-1)*Site_Remise_par_module_ajoute)</f>
        <v/>
      </c>
      <c r="AY6" s="62">
        <f>MAX(AQ6:AU6)*AX6</f>
        <v/>
      </c>
      <c r="AZ6" s="62">
        <f>AV6-AY6</f>
        <v/>
      </c>
      <c r="BA6" s="65">
        <f>IFERROR(VLOOKUP($H6,Table_engagements,2,FALSE),0)</f>
        <v/>
      </c>
      <c r="BB6" s="62">
        <f>AZ6*BA6</f>
        <v/>
      </c>
      <c r="BC6" s="62">
        <f>AZ6-BB6</f>
        <v/>
      </c>
      <c r="BD6" s="62">
        <f>BC6*12</f>
        <v/>
      </c>
      <c r="BE6" s="62">
        <f>IF(AN6&lt;Site_Mise_en_service_offerte_sous,0,BC6*Site_Mise_en_service_mois)</f>
        <v/>
      </c>
      <c r="BF6" s="62">
        <f>BE6+BD6*IF(N($H6)&gt;0,$H6,1)</f>
        <v/>
      </c>
      <c r="BG6" s="66">
        <f>IF(BF6&gt;=Seuil_3,"Procédure formalisée",IF(BF6&gt;=Seuil_2,"Publicité obligatoire",IF(BF6&gt;=Seuil_1,"Procédure adaptée","Sous les seuils")))</f>
        <v/>
      </c>
    </row>
    <row r="7">
      <c r="A7" s="15" t="inlineStr">
        <is>
          <t>Bourg, chantiers seul</t>
        </is>
      </c>
      <c r="B7" s="14" t="n">
        <v>3000</v>
      </c>
      <c r="C7" s="40" t="inlineStr">
        <is>
          <t>Non</t>
        </is>
      </c>
      <c r="D7" s="40" t="inlineStr">
        <is>
          <t>Non</t>
        </is>
      </c>
      <c r="E7" s="40" t="inlineStr">
        <is>
          <t>Non</t>
        </is>
      </c>
      <c r="F7" s="40" t="inlineStr">
        <is>
          <t>Non</t>
        </is>
      </c>
      <c r="G7" s="40" t="inlineStr">
        <is>
          <t>Oui</t>
        </is>
      </c>
      <c r="H7" s="41" t="n">
        <v>1</v>
      </c>
      <c r="I7" s="47">
        <f>IF($B7="","",AH7)</f>
        <v/>
      </c>
      <c r="J7" s="42">
        <f>IF($B7="","",AI7)</f>
        <v/>
      </c>
      <c r="K7" s="42">
        <f>IF($B7="","",AJ7)</f>
        <v/>
      </c>
      <c r="L7" s="47">
        <f>IF($B7="","",AK7)</f>
        <v/>
      </c>
      <c r="M7" s="67">
        <f>IF($B7="","",AL7)</f>
        <v/>
      </c>
      <c r="N7" s="16">
        <f>IF($B7="","",BC7)</f>
        <v/>
      </c>
      <c r="O7" s="16">
        <f>IF($B7="","",BF7)</f>
        <v/>
      </c>
      <c r="P7" s="43">
        <f>IF($B7="","",AH7-BC7)</f>
        <v/>
      </c>
      <c r="Q7" s="53">
        <f>IF(OR($B7="",BC7=0),"",AH7/BC7-1)</f>
        <v/>
      </c>
      <c r="S7" s="58">
        <f>MIN(Population_maximum,MAX(Population_minimum,ROUND($B7,0)))</f>
        <v/>
      </c>
      <c r="T7" s="62">
        <f>Prix_ancre*(S7/Population_ancre)^Exposant</f>
        <v/>
      </c>
      <c r="U7" s="63">
        <f>IF(S7&lt;=Chantiers_demi_poids_sous,Poids_chantiers/2,IF(S7&gt;=Chantiers_plein_poids_des,Poids_chantiers,Poids_chantiers*(0.5+0.5*(LN(S7)-LN(Chantiers_demi_poids_sous))/(LN(Chantiers_plein_poids_des)-LN(Chantiers_demi_poids_sous)))))</f>
        <v/>
      </c>
      <c r="V7" s="62">
        <f>IF($C7="Oui",T7*Poids_carte,0)</f>
        <v/>
      </c>
      <c r="W7" s="62">
        <f>IF($D7="Oui",T7*Poids_travaux,0)</f>
        <v/>
      </c>
      <c r="X7" s="62">
        <f>IF($E7="Oui",T7*Poids_participer,0)</f>
        <v/>
      </c>
      <c r="Y7" s="62">
        <f>IF($F7="Oui",T7*Poids_diagnostic,0)</f>
        <v/>
      </c>
      <c r="Z7" s="62">
        <f>IF($G7="Oui",T7*U7,0)</f>
        <v/>
      </c>
      <c r="AA7" s="62">
        <f>SUM(V7:Z7)</f>
        <v/>
      </c>
      <c r="AB7" s="64">
        <f>COUNTIF($C7:$G7,"Oui")</f>
        <v/>
      </c>
      <c r="AC7" s="65">
        <f>MIN(0.9,MAX(0,AB7-1)*Remise_par_module_ajoute)</f>
        <v/>
      </c>
      <c r="AD7" s="62">
        <f>MAX(V7:Z7)*AC7</f>
        <v/>
      </c>
      <c r="AE7" s="62">
        <f>AA7-AD7</f>
        <v/>
      </c>
      <c r="AF7" s="65">
        <f>IFERROR(VLOOKUP($H7,Table_engagements,3,FALSE),0)</f>
        <v/>
      </c>
      <c r="AG7" s="62">
        <f>AE7*AF7</f>
        <v/>
      </c>
      <c r="AH7" s="62">
        <f>AE7-AG7</f>
        <v/>
      </c>
      <c r="AI7" s="62">
        <f>AH7*12</f>
        <v/>
      </c>
      <c r="AJ7" s="62">
        <f>IF(S7&lt;Mise_en_service_offerte_sous,0,AH7*Mise_en_service_mois)</f>
        <v/>
      </c>
      <c r="AK7" s="62">
        <f>AJ7+AI7*IF(N($H7)&gt;0,$H7,1)</f>
        <v/>
      </c>
      <c r="AL7" s="66">
        <f>IF(AK7&gt;=Seuil_3,"Procédure formalisée",IF(AK7&gt;=Seuil_2,"Publicité obligatoire",IF(AK7&gt;=Seuil_1,"Procédure adaptée","Sous les seuils")))</f>
        <v/>
      </c>
      <c r="AN7" s="58">
        <f>MIN(Site_Population_maximum,MAX(Site_Population_minimum,ROUND($B7,0)))</f>
        <v/>
      </c>
      <c r="AO7" s="62">
        <f>Site_Prix_ancre*(AN7/Site_Population_ancre)^Site_Exposant</f>
        <v/>
      </c>
      <c r="AP7" s="63">
        <f>IF(AN7&lt;=Site_Chantiers_demi_poids_sous,Site_Poids_chantiers/2,IF(AN7&gt;=Site_Chantiers_plein_poids_des,Site_Poids_chantiers,Site_Poids_chantiers*(0.5+0.5*(LN(AN7)-LN(Site_Chantiers_demi_poids_sous))/(LN(Site_Chantiers_plein_poids_des)-LN(Site_Chantiers_demi_poids_sous)))))</f>
        <v/>
      </c>
      <c r="AQ7" s="62">
        <f>IF($C7="Oui",AO7*Site_Poids_carte,0)</f>
        <v/>
      </c>
      <c r="AR7" s="62">
        <f>IF($D7="Oui",AO7*Site_Poids_travaux,0)</f>
        <v/>
      </c>
      <c r="AS7" s="62">
        <f>IF($E7="Oui",AO7*Site_Poids_participer,0)</f>
        <v/>
      </c>
      <c r="AT7" s="62">
        <f>IF($F7="Oui",AO7*Site_Poids_diagnostic,0)</f>
        <v/>
      </c>
      <c r="AU7" s="62">
        <f>IF($G7="Oui",AO7*AP7,0)</f>
        <v/>
      </c>
      <c r="AV7" s="62">
        <f>SUM(AQ7:AU7)</f>
        <v/>
      </c>
      <c r="AW7" s="64">
        <f>COUNTIF($C7:$G7,"Oui")</f>
        <v/>
      </c>
      <c r="AX7" s="65">
        <f>MIN(0.9,MAX(0,AW7-1)*Site_Remise_par_module_ajoute)</f>
        <v/>
      </c>
      <c r="AY7" s="62">
        <f>MAX(AQ7:AU7)*AX7</f>
        <v/>
      </c>
      <c r="AZ7" s="62">
        <f>AV7-AY7</f>
        <v/>
      </c>
      <c r="BA7" s="65">
        <f>IFERROR(VLOOKUP($H7,Table_engagements,2,FALSE),0)</f>
        <v/>
      </c>
      <c r="BB7" s="62">
        <f>AZ7*BA7</f>
        <v/>
      </c>
      <c r="BC7" s="62">
        <f>AZ7-BB7</f>
        <v/>
      </c>
      <c r="BD7" s="62">
        <f>BC7*12</f>
        <v/>
      </c>
      <c r="BE7" s="62">
        <f>IF(AN7&lt;Site_Mise_en_service_offerte_sous,0,BC7*Site_Mise_en_service_mois)</f>
        <v/>
      </c>
      <c r="BF7" s="62">
        <f>BE7+BD7*IF(N($H7)&gt;0,$H7,1)</f>
        <v/>
      </c>
      <c r="BG7" s="66">
        <f>IF(BF7&gt;=Seuil_3,"Procédure formalisée",IF(BF7&gt;=Seuil_2,"Publicité obligatoire",IF(BF7&gt;=Seuil_1,"Procédure adaptée","Sous les seuils")))</f>
        <v/>
      </c>
    </row>
    <row r="8">
      <c r="A8" s="15" t="inlineStr">
        <is>
          <t>Petite ville, carte, travaux, participer</t>
        </is>
      </c>
      <c r="B8" s="14" t="n">
        <v>12000</v>
      </c>
      <c r="C8" s="40" t="inlineStr">
        <is>
          <t>Oui</t>
        </is>
      </c>
      <c r="D8" s="40" t="inlineStr">
        <is>
          <t>Oui</t>
        </is>
      </c>
      <c r="E8" s="40" t="inlineStr">
        <is>
          <t>Oui</t>
        </is>
      </c>
      <c r="F8" s="40" t="inlineStr">
        <is>
          <t>Non</t>
        </is>
      </c>
      <c r="G8" s="40" t="inlineStr">
        <is>
          <t>Non</t>
        </is>
      </c>
      <c r="H8" s="41" t="n">
        <v>3</v>
      </c>
      <c r="I8" s="47">
        <f>IF($B8="","",AH8)</f>
        <v/>
      </c>
      <c r="J8" s="42">
        <f>IF($B8="","",AI8)</f>
        <v/>
      </c>
      <c r="K8" s="42">
        <f>IF($B8="","",AJ8)</f>
        <v/>
      </c>
      <c r="L8" s="47">
        <f>IF($B8="","",AK8)</f>
        <v/>
      </c>
      <c r="M8" s="67">
        <f>IF($B8="","",AL8)</f>
        <v/>
      </c>
      <c r="N8" s="16">
        <f>IF($B8="","",BC8)</f>
        <v/>
      </c>
      <c r="O8" s="16">
        <f>IF($B8="","",BF8)</f>
        <v/>
      </c>
      <c r="P8" s="43">
        <f>IF($B8="","",AH8-BC8)</f>
        <v/>
      </c>
      <c r="Q8" s="53">
        <f>IF(OR($B8="",BC8=0),"",AH8/BC8-1)</f>
        <v/>
      </c>
      <c r="S8" s="58">
        <f>MIN(Population_maximum,MAX(Population_minimum,ROUND($B8,0)))</f>
        <v/>
      </c>
      <c r="T8" s="62">
        <f>Prix_ancre*(S8/Population_ancre)^Exposant</f>
        <v/>
      </c>
      <c r="U8" s="63">
        <f>IF(S8&lt;=Chantiers_demi_poids_sous,Poids_chantiers/2,IF(S8&gt;=Chantiers_plein_poids_des,Poids_chantiers,Poids_chantiers*(0.5+0.5*(LN(S8)-LN(Chantiers_demi_poids_sous))/(LN(Chantiers_plein_poids_des)-LN(Chantiers_demi_poids_sous)))))</f>
        <v/>
      </c>
      <c r="V8" s="62">
        <f>IF($C8="Oui",T8*Poids_carte,0)</f>
        <v/>
      </c>
      <c r="W8" s="62">
        <f>IF($D8="Oui",T8*Poids_travaux,0)</f>
        <v/>
      </c>
      <c r="X8" s="62">
        <f>IF($E8="Oui",T8*Poids_participer,0)</f>
        <v/>
      </c>
      <c r="Y8" s="62">
        <f>IF($F8="Oui",T8*Poids_diagnostic,0)</f>
        <v/>
      </c>
      <c r="Z8" s="62">
        <f>IF($G8="Oui",T8*U8,0)</f>
        <v/>
      </c>
      <c r="AA8" s="62">
        <f>SUM(V8:Z8)</f>
        <v/>
      </c>
      <c r="AB8" s="64">
        <f>COUNTIF($C8:$G8,"Oui")</f>
        <v/>
      </c>
      <c r="AC8" s="65">
        <f>MIN(0.9,MAX(0,AB8-1)*Remise_par_module_ajoute)</f>
        <v/>
      </c>
      <c r="AD8" s="62">
        <f>MAX(V8:Z8)*AC8</f>
        <v/>
      </c>
      <c r="AE8" s="62">
        <f>AA8-AD8</f>
        <v/>
      </c>
      <c r="AF8" s="65">
        <f>IFERROR(VLOOKUP($H8,Table_engagements,3,FALSE),0)</f>
        <v/>
      </c>
      <c r="AG8" s="62">
        <f>AE8*AF8</f>
        <v/>
      </c>
      <c r="AH8" s="62">
        <f>AE8-AG8</f>
        <v/>
      </c>
      <c r="AI8" s="62">
        <f>AH8*12</f>
        <v/>
      </c>
      <c r="AJ8" s="62">
        <f>IF(S8&lt;Mise_en_service_offerte_sous,0,AH8*Mise_en_service_mois)</f>
        <v/>
      </c>
      <c r="AK8" s="62">
        <f>AJ8+AI8*IF(N($H8)&gt;0,$H8,1)</f>
        <v/>
      </c>
      <c r="AL8" s="66">
        <f>IF(AK8&gt;=Seuil_3,"Procédure formalisée",IF(AK8&gt;=Seuil_2,"Publicité obligatoire",IF(AK8&gt;=Seuil_1,"Procédure adaptée","Sous les seuils")))</f>
        <v/>
      </c>
      <c r="AN8" s="58">
        <f>MIN(Site_Population_maximum,MAX(Site_Population_minimum,ROUND($B8,0)))</f>
        <v/>
      </c>
      <c r="AO8" s="62">
        <f>Site_Prix_ancre*(AN8/Site_Population_ancre)^Site_Exposant</f>
        <v/>
      </c>
      <c r="AP8" s="63">
        <f>IF(AN8&lt;=Site_Chantiers_demi_poids_sous,Site_Poids_chantiers/2,IF(AN8&gt;=Site_Chantiers_plein_poids_des,Site_Poids_chantiers,Site_Poids_chantiers*(0.5+0.5*(LN(AN8)-LN(Site_Chantiers_demi_poids_sous))/(LN(Site_Chantiers_plein_poids_des)-LN(Site_Chantiers_demi_poids_sous)))))</f>
        <v/>
      </c>
      <c r="AQ8" s="62">
        <f>IF($C8="Oui",AO8*Site_Poids_carte,0)</f>
        <v/>
      </c>
      <c r="AR8" s="62">
        <f>IF($D8="Oui",AO8*Site_Poids_travaux,0)</f>
        <v/>
      </c>
      <c r="AS8" s="62">
        <f>IF($E8="Oui",AO8*Site_Poids_participer,0)</f>
        <v/>
      </c>
      <c r="AT8" s="62">
        <f>IF($F8="Oui",AO8*Site_Poids_diagnostic,0)</f>
        <v/>
      </c>
      <c r="AU8" s="62">
        <f>IF($G8="Oui",AO8*AP8,0)</f>
        <v/>
      </c>
      <c r="AV8" s="62">
        <f>SUM(AQ8:AU8)</f>
        <v/>
      </c>
      <c r="AW8" s="64">
        <f>COUNTIF($C8:$G8,"Oui")</f>
        <v/>
      </c>
      <c r="AX8" s="65">
        <f>MIN(0.9,MAX(0,AW8-1)*Site_Remise_par_module_ajoute)</f>
        <v/>
      </c>
      <c r="AY8" s="62">
        <f>MAX(AQ8:AU8)*AX8</f>
        <v/>
      </c>
      <c r="AZ8" s="62">
        <f>AV8-AY8</f>
        <v/>
      </c>
      <c r="BA8" s="65">
        <f>IFERROR(VLOOKUP($H8,Table_engagements,2,FALSE),0)</f>
        <v/>
      </c>
      <c r="BB8" s="62">
        <f>AZ8*BA8</f>
        <v/>
      </c>
      <c r="BC8" s="62">
        <f>AZ8-BB8</f>
        <v/>
      </c>
      <c r="BD8" s="62">
        <f>BC8*12</f>
        <v/>
      </c>
      <c r="BE8" s="62">
        <f>IF(AN8&lt;Site_Mise_en_service_offerte_sous,0,BC8*Site_Mise_en_service_mois)</f>
        <v/>
      </c>
      <c r="BF8" s="62">
        <f>BE8+BD8*IF(N($H8)&gt;0,$H8,1)</f>
        <v/>
      </c>
      <c r="BG8" s="66">
        <f>IF(BF8&gt;=Seuil_3,"Procédure formalisée",IF(BF8&gt;=Seuil_2,"Publicité obligatoire",IF(BF8&gt;=Seuil_1,"Procédure adaptée","Sous les seuils")))</f>
        <v/>
      </c>
    </row>
    <row r="9">
      <c r="A9" s="15" t="inlineStr">
        <is>
          <t>Petite ville, la suite complète</t>
        </is>
      </c>
      <c r="B9" s="14" t="n">
        <v>12000</v>
      </c>
      <c r="C9" s="40" t="inlineStr">
        <is>
          <t>Oui</t>
        </is>
      </c>
      <c r="D9" s="40" t="inlineStr">
        <is>
          <t>Oui</t>
        </is>
      </c>
      <c r="E9" s="40" t="inlineStr">
        <is>
          <t>Oui</t>
        </is>
      </c>
      <c r="F9" s="40" t="inlineStr">
        <is>
          <t>Oui</t>
        </is>
      </c>
      <c r="G9" s="40" t="inlineStr">
        <is>
          <t>Oui</t>
        </is>
      </c>
      <c r="H9" s="41" t="n">
        <v>4</v>
      </c>
      <c r="I9" s="47">
        <f>IF($B9="","",AH9)</f>
        <v/>
      </c>
      <c r="J9" s="42">
        <f>IF($B9="","",AI9)</f>
        <v/>
      </c>
      <c r="K9" s="42">
        <f>IF($B9="","",AJ9)</f>
        <v/>
      </c>
      <c r="L9" s="47">
        <f>IF($B9="","",AK9)</f>
        <v/>
      </c>
      <c r="M9" s="67">
        <f>IF($B9="","",AL9)</f>
        <v/>
      </c>
      <c r="N9" s="16">
        <f>IF($B9="","",BC9)</f>
        <v/>
      </c>
      <c r="O9" s="16">
        <f>IF($B9="","",BF9)</f>
        <v/>
      </c>
      <c r="P9" s="43">
        <f>IF($B9="","",AH9-BC9)</f>
        <v/>
      </c>
      <c r="Q9" s="53">
        <f>IF(OR($B9="",BC9=0),"",AH9/BC9-1)</f>
        <v/>
      </c>
      <c r="S9" s="58">
        <f>MIN(Population_maximum,MAX(Population_minimum,ROUND($B9,0)))</f>
        <v/>
      </c>
      <c r="T9" s="62">
        <f>Prix_ancre*(S9/Population_ancre)^Exposant</f>
        <v/>
      </c>
      <c r="U9" s="63">
        <f>IF(S9&lt;=Chantiers_demi_poids_sous,Poids_chantiers/2,IF(S9&gt;=Chantiers_plein_poids_des,Poids_chantiers,Poids_chantiers*(0.5+0.5*(LN(S9)-LN(Chantiers_demi_poids_sous))/(LN(Chantiers_plein_poids_des)-LN(Chantiers_demi_poids_sous)))))</f>
        <v/>
      </c>
      <c r="V9" s="62">
        <f>IF($C9="Oui",T9*Poids_carte,0)</f>
        <v/>
      </c>
      <c r="W9" s="62">
        <f>IF($D9="Oui",T9*Poids_travaux,0)</f>
        <v/>
      </c>
      <c r="X9" s="62">
        <f>IF($E9="Oui",T9*Poids_participer,0)</f>
        <v/>
      </c>
      <c r="Y9" s="62">
        <f>IF($F9="Oui",T9*Poids_diagnostic,0)</f>
        <v/>
      </c>
      <c r="Z9" s="62">
        <f>IF($G9="Oui",T9*U9,0)</f>
        <v/>
      </c>
      <c r="AA9" s="62">
        <f>SUM(V9:Z9)</f>
        <v/>
      </c>
      <c r="AB9" s="64">
        <f>COUNTIF($C9:$G9,"Oui")</f>
        <v/>
      </c>
      <c r="AC9" s="65">
        <f>MIN(0.9,MAX(0,AB9-1)*Remise_par_module_ajoute)</f>
        <v/>
      </c>
      <c r="AD9" s="62">
        <f>MAX(V9:Z9)*AC9</f>
        <v/>
      </c>
      <c r="AE9" s="62">
        <f>AA9-AD9</f>
        <v/>
      </c>
      <c r="AF9" s="65">
        <f>IFERROR(VLOOKUP($H9,Table_engagements,3,FALSE),0)</f>
        <v/>
      </c>
      <c r="AG9" s="62">
        <f>AE9*AF9</f>
        <v/>
      </c>
      <c r="AH9" s="62">
        <f>AE9-AG9</f>
        <v/>
      </c>
      <c r="AI9" s="62">
        <f>AH9*12</f>
        <v/>
      </c>
      <c r="AJ9" s="62">
        <f>IF(S9&lt;Mise_en_service_offerte_sous,0,AH9*Mise_en_service_mois)</f>
        <v/>
      </c>
      <c r="AK9" s="62">
        <f>AJ9+AI9*IF(N($H9)&gt;0,$H9,1)</f>
        <v/>
      </c>
      <c r="AL9" s="66">
        <f>IF(AK9&gt;=Seuil_3,"Procédure formalisée",IF(AK9&gt;=Seuil_2,"Publicité obligatoire",IF(AK9&gt;=Seuil_1,"Procédure adaptée","Sous les seuils")))</f>
        <v/>
      </c>
      <c r="AN9" s="58">
        <f>MIN(Site_Population_maximum,MAX(Site_Population_minimum,ROUND($B9,0)))</f>
        <v/>
      </c>
      <c r="AO9" s="62">
        <f>Site_Prix_ancre*(AN9/Site_Population_ancre)^Site_Exposant</f>
        <v/>
      </c>
      <c r="AP9" s="63">
        <f>IF(AN9&lt;=Site_Chantiers_demi_poids_sous,Site_Poids_chantiers/2,IF(AN9&gt;=Site_Chantiers_plein_poids_des,Site_Poids_chantiers,Site_Poids_chantiers*(0.5+0.5*(LN(AN9)-LN(Site_Chantiers_demi_poids_sous))/(LN(Site_Chantiers_plein_poids_des)-LN(Site_Chantiers_demi_poids_sous)))))</f>
        <v/>
      </c>
      <c r="AQ9" s="62">
        <f>IF($C9="Oui",AO9*Site_Poids_carte,0)</f>
        <v/>
      </c>
      <c r="AR9" s="62">
        <f>IF($D9="Oui",AO9*Site_Poids_travaux,0)</f>
        <v/>
      </c>
      <c r="AS9" s="62">
        <f>IF($E9="Oui",AO9*Site_Poids_participer,0)</f>
        <v/>
      </c>
      <c r="AT9" s="62">
        <f>IF($F9="Oui",AO9*Site_Poids_diagnostic,0)</f>
        <v/>
      </c>
      <c r="AU9" s="62">
        <f>IF($G9="Oui",AO9*AP9,0)</f>
        <v/>
      </c>
      <c r="AV9" s="62">
        <f>SUM(AQ9:AU9)</f>
        <v/>
      </c>
      <c r="AW9" s="64">
        <f>COUNTIF($C9:$G9,"Oui")</f>
        <v/>
      </c>
      <c r="AX9" s="65">
        <f>MIN(0.9,MAX(0,AW9-1)*Site_Remise_par_module_ajoute)</f>
        <v/>
      </c>
      <c r="AY9" s="62">
        <f>MAX(AQ9:AU9)*AX9</f>
        <v/>
      </c>
      <c r="AZ9" s="62">
        <f>AV9-AY9</f>
        <v/>
      </c>
      <c r="BA9" s="65">
        <f>IFERROR(VLOOKUP($H9,Table_engagements,2,FALSE),0)</f>
        <v/>
      </c>
      <c r="BB9" s="62">
        <f>AZ9*BA9</f>
        <v/>
      </c>
      <c r="BC9" s="62">
        <f>AZ9-BB9</f>
        <v/>
      </c>
      <c r="BD9" s="62">
        <f>BC9*12</f>
        <v/>
      </c>
      <c r="BE9" s="62">
        <f>IF(AN9&lt;Site_Mise_en_service_offerte_sous,0,BC9*Site_Mise_en_service_mois)</f>
        <v/>
      </c>
      <c r="BF9" s="62">
        <f>BE9+BD9*IF(N($H9)&gt;0,$H9,1)</f>
        <v/>
      </c>
      <c r="BG9" s="66">
        <f>IF(BF9&gt;=Seuil_3,"Procédure formalisée",IF(BF9&gt;=Seuil_2,"Publicité obligatoire",IF(BF9&gt;=Seuil_1,"Procédure adaptée","Sous les seuils")))</f>
        <v/>
      </c>
    </row>
    <row r="10">
      <c r="A10" s="15" t="inlineStr">
        <is>
          <t>Ville moyenne, carte et participer</t>
        </is>
      </c>
      <c r="B10" s="14" t="n">
        <v>50000</v>
      </c>
      <c r="C10" s="40" t="inlineStr">
        <is>
          <t>Oui</t>
        </is>
      </c>
      <c r="D10" s="40" t="inlineStr">
        <is>
          <t>Non</t>
        </is>
      </c>
      <c r="E10" s="40" t="inlineStr">
        <is>
          <t>Oui</t>
        </is>
      </c>
      <c r="F10" s="40" t="inlineStr">
        <is>
          <t>Non</t>
        </is>
      </c>
      <c r="G10" s="40" t="inlineStr">
        <is>
          <t>Non</t>
        </is>
      </c>
      <c r="H10" s="41" t="n">
        <v>2</v>
      </c>
      <c r="I10" s="47">
        <f>IF($B10="","",AH10)</f>
        <v/>
      </c>
      <c r="J10" s="42">
        <f>IF($B10="","",AI10)</f>
        <v/>
      </c>
      <c r="K10" s="42">
        <f>IF($B10="","",AJ10)</f>
        <v/>
      </c>
      <c r="L10" s="47">
        <f>IF($B10="","",AK10)</f>
        <v/>
      </c>
      <c r="M10" s="67">
        <f>IF($B10="","",AL10)</f>
        <v/>
      </c>
      <c r="N10" s="16">
        <f>IF($B10="","",BC10)</f>
        <v/>
      </c>
      <c r="O10" s="16">
        <f>IF($B10="","",BF10)</f>
        <v/>
      </c>
      <c r="P10" s="43">
        <f>IF($B10="","",AH10-BC10)</f>
        <v/>
      </c>
      <c r="Q10" s="53">
        <f>IF(OR($B10="",BC10=0),"",AH10/BC10-1)</f>
        <v/>
      </c>
      <c r="S10" s="58">
        <f>MIN(Population_maximum,MAX(Population_minimum,ROUND($B10,0)))</f>
        <v/>
      </c>
      <c r="T10" s="62">
        <f>Prix_ancre*(S10/Population_ancre)^Exposant</f>
        <v/>
      </c>
      <c r="U10" s="63">
        <f>IF(S10&lt;=Chantiers_demi_poids_sous,Poids_chantiers/2,IF(S10&gt;=Chantiers_plein_poids_des,Poids_chantiers,Poids_chantiers*(0.5+0.5*(LN(S10)-LN(Chantiers_demi_poids_sous))/(LN(Chantiers_plein_poids_des)-LN(Chantiers_demi_poids_sous)))))</f>
        <v/>
      </c>
      <c r="V10" s="62">
        <f>IF($C10="Oui",T10*Poids_carte,0)</f>
        <v/>
      </c>
      <c r="W10" s="62">
        <f>IF($D10="Oui",T10*Poids_travaux,0)</f>
        <v/>
      </c>
      <c r="X10" s="62">
        <f>IF($E10="Oui",T10*Poids_participer,0)</f>
        <v/>
      </c>
      <c r="Y10" s="62">
        <f>IF($F10="Oui",T10*Poids_diagnostic,0)</f>
        <v/>
      </c>
      <c r="Z10" s="62">
        <f>IF($G10="Oui",T10*U10,0)</f>
        <v/>
      </c>
      <c r="AA10" s="62">
        <f>SUM(V10:Z10)</f>
        <v/>
      </c>
      <c r="AB10" s="64">
        <f>COUNTIF($C10:$G10,"Oui")</f>
        <v/>
      </c>
      <c r="AC10" s="65">
        <f>MIN(0.9,MAX(0,AB10-1)*Remise_par_module_ajoute)</f>
        <v/>
      </c>
      <c r="AD10" s="62">
        <f>MAX(V10:Z10)*AC10</f>
        <v/>
      </c>
      <c r="AE10" s="62">
        <f>AA10-AD10</f>
        <v/>
      </c>
      <c r="AF10" s="65">
        <f>IFERROR(VLOOKUP($H10,Table_engagements,3,FALSE),0)</f>
        <v/>
      </c>
      <c r="AG10" s="62">
        <f>AE10*AF10</f>
        <v/>
      </c>
      <c r="AH10" s="62">
        <f>AE10-AG10</f>
        <v/>
      </c>
      <c r="AI10" s="62">
        <f>AH10*12</f>
        <v/>
      </c>
      <c r="AJ10" s="62">
        <f>IF(S10&lt;Mise_en_service_offerte_sous,0,AH10*Mise_en_service_mois)</f>
        <v/>
      </c>
      <c r="AK10" s="62">
        <f>AJ10+AI10*IF(N($H10)&gt;0,$H10,1)</f>
        <v/>
      </c>
      <c r="AL10" s="66">
        <f>IF(AK10&gt;=Seuil_3,"Procédure formalisée",IF(AK10&gt;=Seuil_2,"Publicité obligatoire",IF(AK10&gt;=Seuil_1,"Procédure adaptée","Sous les seuils")))</f>
        <v/>
      </c>
      <c r="AN10" s="58">
        <f>MIN(Site_Population_maximum,MAX(Site_Population_minimum,ROUND($B10,0)))</f>
        <v/>
      </c>
      <c r="AO10" s="62">
        <f>Site_Prix_ancre*(AN10/Site_Population_ancre)^Site_Exposant</f>
        <v/>
      </c>
      <c r="AP10" s="63">
        <f>IF(AN10&lt;=Site_Chantiers_demi_poids_sous,Site_Poids_chantiers/2,IF(AN10&gt;=Site_Chantiers_plein_poids_des,Site_Poids_chantiers,Site_Poids_chantiers*(0.5+0.5*(LN(AN10)-LN(Site_Chantiers_demi_poids_sous))/(LN(Site_Chantiers_plein_poids_des)-LN(Site_Chantiers_demi_poids_sous)))))</f>
        <v/>
      </c>
      <c r="AQ10" s="62">
        <f>IF($C10="Oui",AO10*Site_Poids_carte,0)</f>
        <v/>
      </c>
      <c r="AR10" s="62">
        <f>IF($D10="Oui",AO10*Site_Poids_travaux,0)</f>
        <v/>
      </c>
      <c r="AS10" s="62">
        <f>IF($E10="Oui",AO10*Site_Poids_participer,0)</f>
        <v/>
      </c>
      <c r="AT10" s="62">
        <f>IF($F10="Oui",AO10*Site_Poids_diagnostic,0)</f>
        <v/>
      </c>
      <c r="AU10" s="62">
        <f>IF($G10="Oui",AO10*AP10,0)</f>
        <v/>
      </c>
      <c r="AV10" s="62">
        <f>SUM(AQ10:AU10)</f>
        <v/>
      </c>
      <c r="AW10" s="64">
        <f>COUNTIF($C10:$G10,"Oui")</f>
        <v/>
      </c>
      <c r="AX10" s="65">
        <f>MIN(0.9,MAX(0,AW10-1)*Site_Remise_par_module_ajoute)</f>
        <v/>
      </c>
      <c r="AY10" s="62">
        <f>MAX(AQ10:AU10)*AX10</f>
        <v/>
      </c>
      <c r="AZ10" s="62">
        <f>AV10-AY10</f>
        <v/>
      </c>
      <c r="BA10" s="65">
        <f>IFERROR(VLOOKUP($H10,Table_engagements,2,FALSE),0)</f>
        <v/>
      </c>
      <c r="BB10" s="62">
        <f>AZ10*BA10</f>
        <v/>
      </c>
      <c r="BC10" s="62">
        <f>AZ10-BB10</f>
        <v/>
      </c>
      <c r="BD10" s="62">
        <f>BC10*12</f>
        <v/>
      </c>
      <c r="BE10" s="62">
        <f>IF(AN10&lt;Site_Mise_en_service_offerte_sous,0,BC10*Site_Mise_en_service_mois)</f>
        <v/>
      </c>
      <c r="BF10" s="62">
        <f>BE10+BD10*IF(N($H10)&gt;0,$H10,1)</f>
        <v/>
      </c>
      <c r="BG10" s="66">
        <f>IF(BF10&gt;=Seuil_3,"Procédure formalisée",IF(BF10&gt;=Seuil_2,"Publicité obligatoire",IF(BF10&gt;=Seuil_1,"Procédure adaptée","Sous les seuils")))</f>
        <v/>
      </c>
    </row>
    <row r="11">
      <c r="A11" s="15" t="inlineStr">
        <is>
          <t>Ville moyenne, la suite complète</t>
        </is>
      </c>
      <c r="B11" s="14" t="n">
        <v>50000</v>
      </c>
      <c r="C11" s="40" t="inlineStr">
        <is>
          <t>Oui</t>
        </is>
      </c>
      <c r="D11" s="40" t="inlineStr">
        <is>
          <t>Oui</t>
        </is>
      </c>
      <c r="E11" s="40" t="inlineStr">
        <is>
          <t>Oui</t>
        </is>
      </c>
      <c r="F11" s="40" t="inlineStr">
        <is>
          <t>Oui</t>
        </is>
      </c>
      <c r="G11" s="40" t="inlineStr">
        <is>
          <t>Oui</t>
        </is>
      </c>
      <c r="H11" s="41" t="n">
        <v>3</v>
      </c>
      <c r="I11" s="47">
        <f>IF($B11="","",AH11)</f>
        <v/>
      </c>
      <c r="J11" s="42">
        <f>IF($B11="","",AI11)</f>
        <v/>
      </c>
      <c r="K11" s="42">
        <f>IF($B11="","",AJ11)</f>
        <v/>
      </c>
      <c r="L11" s="47">
        <f>IF($B11="","",AK11)</f>
        <v/>
      </c>
      <c r="M11" s="67">
        <f>IF($B11="","",AL11)</f>
        <v/>
      </c>
      <c r="N11" s="16">
        <f>IF($B11="","",BC11)</f>
        <v/>
      </c>
      <c r="O11" s="16">
        <f>IF($B11="","",BF11)</f>
        <v/>
      </c>
      <c r="P11" s="43">
        <f>IF($B11="","",AH11-BC11)</f>
        <v/>
      </c>
      <c r="Q11" s="53">
        <f>IF(OR($B11="",BC11=0),"",AH11/BC11-1)</f>
        <v/>
      </c>
      <c r="S11" s="58">
        <f>MIN(Population_maximum,MAX(Population_minimum,ROUND($B11,0)))</f>
        <v/>
      </c>
      <c r="T11" s="62">
        <f>Prix_ancre*(S11/Population_ancre)^Exposant</f>
        <v/>
      </c>
      <c r="U11" s="63">
        <f>IF(S11&lt;=Chantiers_demi_poids_sous,Poids_chantiers/2,IF(S11&gt;=Chantiers_plein_poids_des,Poids_chantiers,Poids_chantiers*(0.5+0.5*(LN(S11)-LN(Chantiers_demi_poids_sous))/(LN(Chantiers_plein_poids_des)-LN(Chantiers_demi_poids_sous)))))</f>
        <v/>
      </c>
      <c r="V11" s="62">
        <f>IF($C11="Oui",T11*Poids_carte,0)</f>
        <v/>
      </c>
      <c r="W11" s="62">
        <f>IF($D11="Oui",T11*Poids_travaux,0)</f>
        <v/>
      </c>
      <c r="X11" s="62">
        <f>IF($E11="Oui",T11*Poids_participer,0)</f>
        <v/>
      </c>
      <c r="Y11" s="62">
        <f>IF($F11="Oui",T11*Poids_diagnostic,0)</f>
        <v/>
      </c>
      <c r="Z11" s="62">
        <f>IF($G11="Oui",T11*U11,0)</f>
        <v/>
      </c>
      <c r="AA11" s="62">
        <f>SUM(V11:Z11)</f>
        <v/>
      </c>
      <c r="AB11" s="64">
        <f>COUNTIF($C11:$G11,"Oui")</f>
        <v/>
      </c>
      <c r="AC11" s="65">
        <f>MIN(0.9,MAX(0,AB11-1)*Remise_par_module_ajoute)</f>
        <v/>
      </c>
      <c r="AD11" s="62">
        <f>MAX(V11:Z11)*AC11</f>
        <v/>
      </c>
      <c r="AE11" s="62">
        <f>AA11-AD11</f>
        <v/>
      </c>
      <c r="AF11" s="65">
        <f>IFERROR(VLOOKUP($H11,Table_engagements,3,FALSE),0)</f>
        <v/>
      </c>
      <c r="AG11" s="62">
        <f>AE11*AF11</f>
        <v/>
      </c>
      <c r="AH11" s="62">
        <f>AE11-AG11</f>
        <v/>
      </c>
      <c r="AI11" s="62">
        <f>AH11*12</f>
        <v/>
      </c>
      <c r="AJ11" s="62">
        <f>IF(S11&lt;Mise_en_service_offerte_sous,0,AH11*Mise_en_service_mois)</f>
        <v/>
      </c>
      <c r="AK11" s="62">
        <f>AJ11+AI11*IF(N($H11)&gt;0,$H11,1)</f>
        <v/>
      </c>
      <c r="AL11" s="66">
        <f>IF(AK11&gt;=Seuil_3,"Procédure formalisée",IF(AK11&gt;=Seuil_2,"Publicité obligatoire",IF(AK11&gt;=Seuil_1,"Procédure adaptée","Sous les seuils")))</f>
        <v/>
      </c>
      <c r="AN11" s="58">
        <f>MIN(Site_Population_maximum,MAX(Site_Population_minimum,ROUND($B11,0)))</f>
        <v/>
      </c>
      <c r="AO11" s="62">
        <f>Site_Prix_ancre*(AN11/Site_Population_ancre)^Site_Exposant</f>
        <v/>
      </c>
      <c r="AP11" s="63">
        <f>IF(AN11&lt;=Site_Chantiers_demi_poids_sous,Site_Poids_chantiers/2,IF(AN11&gt;=Site_Chantiers_plein_poids_des,Site_Poids_chantiers,Site_Poids_chantiers*(0.5+0.5*(LN(AN11)-LN(Site_Chantiers_demi_poids_sous))/(LN(Site_Chantiers_plein_poids_des)-LN(Site_Chantiers_demi_poids_sous)))))</f>
        <v/>
      </c>
      <c r="AQ11" s="62">
        <f>IF($C11="Oui",AO11*Site_Poids_carte,0)</f>
        <v/>
      </c>
      <c r="AR11" s="62">
        <f>IF($D11="Oui",AO11*Site_Poids_travaux,0)</f>
        <v/>
      </c>
      <c r="AS11" s="62">
        <f>IF($E11="Oui",AO11*Site_Poids_participer,0)</f>
        <v/>
      </c>
      <c r="AT11" s="62">
        <f>IF($F11="Oui",AO11*Site_Poids_diagnostic,0)</f>
        <v/>
      </c>
      <c r="AU11" s="62">
        <f>IF($G11="Oui",AO11*AP11,0)</f>
        <v/>
      </c>
      <c r="AV11" s="62">
        <f>SUM(AQ11:AU11)</f>
        <v/>
      </c>
      <c r="AW11" s="64">
        <f>COUNTIF($C11:$G11,"Oui")</f>
        <v/>
      </c>
      <c r="AX11" s="65">
        <f>MIN(0.9,MAX(0,AW11-1)*Site_Remise_par_module_ajoute)</f>
        <v/>
      </c>
      <c r="AY11" s="62">
        <f>MAX(AQ11:AU11)*AX11</f>
        <v/>
      </c>
      <c r="AZ11" s="62">
        <f>AV11-AY11</f>
        <v/>
      </c>
      <c r="BA11" s="65">
        <f>IFERROR(VLOOKUP($H11,Table_engagements,2,FALSE),0)</f>
        <v/>
      </c>
      <c r="BB11" s="62">
        <f>AZ11*BA11</f>
        <v/>
      </c>
      <c r="BC11" s="62">
        <f>AZ11-BB11</f>
        <v/>
      </c>
      <c r="BD11" s="62">
        <f>BC11*12</f>
        <v/>
      </c>
      <c r="BE11" s="62">
        <f>IF(AN11&lt;Site_Mise_en_service_offerte_sous,0,BC11*Site_Mise_en_service_mois)</f>
        <v/>
      </c>
      <c r="BF11" s="62">
        <f>BE11+BD11*IF(N($H11)&gt;0,$H11,1)</f>
        <v/>
      </c>
      <c r="BG11" s="66">
        <f>IF(BF11&gt;=Seuil_3,"Procédure formalisée",IF(BF11&gt;=Seuil_2,"Publicité obligatoire",IF(BF11&gt;=Seuil_1,"Procédure adaptée","Sous les seuils")))</f>
        <v/>
      </c>
    </row>
    <row r="12">
      <c r="A12" s="15" t="inlineStr">
        <is>
          <t>Grande ville, carte et diagnostic</t>
        </is>
      </c>
      <c r="B12" s="14" t="n">
        <v>150000</v>
      </c>
      <c r="C12" s="40" t="inlineStr">
        <is>
          <t>Oui</t>
        </is>
      </c>
      <c r="D12" s="40" t="inlineStr">
        <is>
          <t>Non</t>
        </is>
      </c>
      <c r="E12" s="40" t="inlineStr">
        <is>
          <t>Non</t>
        </is>
      </c>
      <c r="F12" s="40" t="inlineStr">
        <is>
          <t>Oui</t>
        </is>
      </c>
      <c r="G12" s="40" t="inlineStr">
        <is>
          <t>Non</t>
        </is>
      </c>
      <c r="H12" s="41" t="n">
        <v>3</v>
      </c>
      <c r="I12" s="47">
        <f>IF($B12="","",AH12)</f>
        <v/>
      </c>
      <c r="J12" s="42">
        <f>IF($B12="","",AI12)</f>
        <v/>
      </c>
      <c r="K12" s="42">
        <f>IF($B12="","",AJ12)</f>
        <v/>
      </c>
      <c r="L12" s="47">
        <f>IF($B12="","",AK12)</f>
        <v/>
      </c>
      <c r="M12" s="67">
        <f>IF($B12="","",AL12)</f>
        <v/>
      </c>
      <c r="N12" s="16">
        <f>IF($B12="","",BC12)</f>
        <v/>
      </c>
      <c r="O12" s="16">
        <f>IF($B12="","",BF12)</f>
        <v/>
      </c>
      <c r="P12" s="43">
        <f>IF($B12="","",AH12-BC12)</f>
        <v/>
      </c>
      <c r="Q12" s="53">
        <f>IF(OR($B12="",BC12=0),"",AH12/BC12-1)</f>
        <v/>
      </c>
      <c r="S12" s="58">
        <f>MIN(Population_maximum,MAX(Population_minimum,ROUND($B12,0)))</f>
        <v/>
      </c>
      <c r="T12" s="62">
        <f>Prix_ancre*(S12/Population_ancre)^Exposant</f>
        <v/>
      </c>
      <c r="U12" s="63">
        <f>IF(S12&lt;=Chantiers_demi_poids_sous,Poids_chantiers/2,IF(S12&gt;=Chantiers_plein_poids_des,Poids_chantiers,Poids_chantiers*(0.5+0.5*(LN(S12)-LN(Chantiers_demi_poids_sous))/(LN(Chantiers_plein_poids_des)-LN(Chantiers_demi_poids_sous)))))</f>
        <v/>
      </c>
      <c r="V12" s="62">
        <f>IF($C12="Oui",T12*Poids_carte,0)</f>
        <v/>
      </c>
      <c r="W12" s="62">
        <f>IF($D12="Oui",T12*Poids_travaux,0)</f>
        <v/>
      </c>
      <c r="X12" s="62">
        <f>IF($E12="Oui",T12*Poids_participer,0)</f>
        <v/>
      </c>
      <c r="Y12" s="62">
        <f>IF($F12="Oui",T12*Poids_diagnostic,0)</f>
        <v/>
      </c>
      <c r="Z12" s="62">
        <f>IF($G12="Oui",T12*U12,0)</f>
        <v/>
      </c>
      <c r="AA12" s="62">
        <f>SUM(V12:Z12)</f>
        <v/>
      </c>
      <c r="AB12" s="64">
        <f>COUNTIF($C12:$G12,"Oui")</f>
        <v/>
      </c>
      <c r="AC12" s="65">
        <f>MIN(0.9,MAX(0,AB12-1)*Remise_par_module_ajoute)</f>
        <v/>
      </c>
      <c r="AD12" s="62">
        <f>MAX(V12:Z12)*AC12</f>
        <v/>
      </c>
      <c r="AE12" s="62">
        <f>AA12-AD12</f>
        <v/>
      </c>
      <c r="AF12" s="65">
        <f>IFERROR(VLOOKUP($H12,Table_engagements,3,FALSE),0)</f>
        <v/>
      </c>
      <c r="AG12" s="62">
        <f>AE12*AF12</f>
        <v/>
      </c>
      <c r="AH12" s="62">
        <f>AE12-AG12</f>
        <v/>
      </c>
      <c r="AI12" s="62">
        <f>AH12*12</f>
        <v/>
      </c>
      <c r="AJ12" s="62">
        <f>IF(S12&lt;Mise_en_service_offerte_sous,0,AH12*Mise_en_service_mois)</f>
        <v/>
      </c>
      <c r="AK12" s="62">
        <f>AJ12+AI12*IF(N($H12)&gt;0,$H12,1)</f>
        <v/>
      </c>
      <c r="AL12" s="66">
        <f>IF(AK12&gt;=Seuil_3,"Procédure formalisée",IF(AK12&gt;=Seuil_2,"Publicité obligatoire",IF(AK12&gt;=Seuil_1,"Procédure adaptée","Sous les seuils")))</f>
        <v/>
      </c>
      <c r="AN12" s="58">
        <f>MIN(Site_Population_maximum,MAX(Site_Population_minimum,ROUND($B12,0)))</f>
        <v/>
      </c>
      <c r="AO12" s="62">
        <f>Site_Prix_ancre*(AN12/Site_Population_ancre)^Site_Exposant</f>
        <v/>
      </c>
      <c r="AP12" s="63">
        <f>IF(AN12&lt;=Site_Chantiers_demi_poids_sous,Site_Poids_chantiers/2,IF(AN12&gt;=Site_Chantiers_plein_poids_des,Site_Poids_chantiers,Site_Poids_chantiers*(0.5+0.5*(LN(AN12)-LN(Site_Chantiers_demi_poids_sous))/(LN(Site_Chantiers_plein_poids_des)-LN(Site_Chantiers_demi_poids_sous)))))</f>
        <v/>
      </c>
      <c r="AQ12" s="62">
        <f>IF($C12="Oui",AO12*Site_Poids_carte,0)</f>
        <v/>
      </c>
      <c r="AR12" s="62">
        <f>IF($D12="Oui",AO12*Site_Poids_travaux,0)</f>
        <v/>
      </c>
      <c r="AS12" s="62">
        <f>IF($E12="Oui",AO12*Site_Poids_participer,0)</f>
        <v/>
      </c>
      <c r="AT12" s="62">
        <f>IF($F12="Oui",AO12*Site_Poids_diagnostic,0)</f>
        <v/>
      </c>
      <c r="AU12" s="62">
        <f>IF($G12="Oui",AO12*AP12,0)</f>
        <v/>
      </c>
      <c r="AV12" s="62">
        <f>SUM(AQ12:AU12)</f>
        <v/>
      </c>
      <c r="AW12" s="64">
        <f>COUNTIF($C12:$G12,"Oui")</f>
        <v/>
      </c>
      <c r="AX12" s="65">
        <f>MIN(0.9,MAX(0,AW12-1)*Site_Remise_par_module_ajoute)</f>
        <v/>
      </c>
      <c r="AY12" s="62">
        <f>MAX(AQ12:AU12)*AX12</f>
        <v/>
      </c>
      <c r="AZ12" s="62">
        <f>AV12-AY12</f>
        <v/>
      </c>
      <c r="BA12" s="65">
        <f>IFERROR(VLOOKUP($H12,Table_engagements,2,FALSE),0)</f>
        <v/>
      </c>
      <c r="BB12" s="62">
        <f>AZ12*BA12</f>
        <v/>
      </c>
      <c r="BC12" s="62">
        <f>AZ12-BB12</f>
        <v/>
      </c>
      <c r="BD12" s="62">
        <f>BC12*12</f>
        <v/>
      </c>
      <c r="BE12" s="62">
        <f>IF(AN12&lt;Site_Mise_en_service_offerte_sous,0,BC12*Site_Mise_en_service_mois)</f>
        <v/>
      </c>
      <c r="BF12" s="62">
        <f>BE12+BD12*IF(N($H12)&gt;0,$H12,1)</f>
        <v/>
      </c>
      <c r="BG12" s="66">
        <f>IF(BF12&gt;=Seuil_3,"Procédure formalisée",IF(BF12&gt;=Seuil_2,"Publicité obligatoire",IF(BF12&gt;=Seuil_1,"Procédure adaptée","Sous les seuils")))</f>
        <v/>
      </c>
    </row>
    <row r="13">
      <c r="A13" s="15" t="inlineStr">
        <is>
          <t>Métropole, carte seule</t>
        </is>
      </c>
      <c r="B13" s="14" t="n">
        <v>500000</v>
      </c>
      <c r="C13" s="40" t="inlineStr">
        <is>
          <t>Oui</t>
        </is>
      </c>
      <c r="D13" s="40" t="inlineStr">
        <is>
          <t>Non</t>
        </is>
      </c>
      <c r="E13" s="40" t="inlineStr">
        <is>
          <t>Non</t>
        </is>
      </c>
      <c r="F13" s="40" t="inlineStr">
        <is>
          <t>Non</t>
        </is>
      </c>
      <c r="G13" s="40" t="inlineStr">
        <is>
          <t>Non</t>
        </is>
      </c>
      <c r="H13" s="41" t="n">
        <v>4</v>
      </c>
      <c r="I13" s="47">
        <f>IF($B13="","",AH13)</f>
        <v/>
      </c>
      <c r="J13" s="42">
        <f>IF($B13="","",AI13)</f>
        <v/>
      </c>
      <c r="K13" s="42">
        <f>IF($B13="","",AJ13)</f>
        <v/>
      </c>
      <c r="L13" s="47">
        <f>IF($B13="","",AK13)</f>
        <v/>
      </c>
      <c r="M13" s="67">
        <f>IF($B13="","",AL13)</f>
        <v/>
      </c>
      <c r="N13" s="16">
        <f>IF($B13="","",BC13)</f>
        <v/>
      </c>
      <c r="O13" s="16">
        <f>IF($B13="","",BF13)</f>
        <v/>
      </c>
      <c r="P13" s="43">
        <f>IF($B13="","",AH13-BC13)</f>
        <v/>
      </c>
      <c r="Q13" s="53">
        <f>IF(OR($B13="",BC13=0),"",AH13/BC13-1)</f>
        <v/>
      </c>
      <c r="S13" s="58">
        <f>MIN(Population_maximum,MAX(Population_minimum,ROUND($B13,0)))</f>
        <v/>
      </c>
      <c r="T13" s="62">
        <f>Prix_ancre*(S13/Population_ancre)^Exposant</f>
        <v/>
      </c>
      <c r="U13" s="63">
        <f>IF(S13&lt;=Chantiers_demi_poids_sous,Poids_chantiers/2,IF(S13&gt;=Chantiers_plein_poids_des,Poids_chantiers,Poids_chantiers*(0.5+0.5*(LN(S13)-LN(Chantiers_demi_poids_sous))/(LN(Chantiers_plein_poids_des)-LN(Chantiers_demi_poids_sous)))))</f>
        <v/>
      </c>
      <c r="V13" s="62">
        <f>IF($C13="Oui",T13*Poids_carte,0)</f>
        <v/>
      </c>
      <c r="W13" s="62">
        <f>IF($D13="Oui",T13*Poids_travaux,0)</f>
        <v/>
      </c>
      <c r="X13" s="62">
        <f>IF($E13="Oui",T13*Poids_participer,0)</f>
        <v/>
      </c>
      <c r="Y13" s="62">
        <f>IF($F13="Oui",T13*Poids_diagnostic,0)</f>
        <v/>
      </c>
      <c r="Z13" s="62">
        <f>IF($G13="Oui",T13*U13,0)</f>
        <v/>
      </c>
      <c r="AA13" s="62">
        <f>SUM(V13:Z13)</f>
        <v/>
      </c>
      <c r="AB13" s="64">
        <f>COUNTIF($C13:$G13,"Oui")</f>
        <v/>
      </c>
      <c r="AC13" s="65">
        <f>MIN(0.9,MAX(0,AB13-1)*Remise_par_module_ajoute)</f>
        <v/>
      </c>
      <c r="AD13" s="62">
        <f>MAX(V13:Z13)*AC13</f>
        <v/>
      </c>
      <c r="AE13" s="62">
        <f>AA13-AD13</f>
        <v/>
      </c>
      <c r="AF13" s="65">
        <f>IFERROR(VLOOKUP($H13,Table_engagements,3,FALSE),0)</f>
        <v/>
      </c>
      <c r="AG13" s="62">
        <f>AE13*AF13</f>
        <v/>
      </c>
      <c r="AH13" s="62">
        <f>AE13-AG13</f>
        <v/>
      </c>
      <c r="AI13" s="62">
        <f>AH13*12</f>
        <v/>
      </c>
      <c r="AJ13" s="62">
        <f>IF(S13&lt;Mise_en_service_offerte_sous,0,AH13*Mise_en_service_mois)</f>
        <v/>
      </c>
      <c r="AK13" s="62">
        <f>AJ13+AI13*IF(N($H13)&gt;0,$H13,1)</f>
        <v/>
      </c>
      <c r="AL13" s="66">
        <f>IF(AK13&gt;=Seuil_3,"Procédure formalisée",IF(AK13&gt;=Seuil_2,"Publicité obligatoire",IF(AK13&gt;=Seuil_1,"Procédure adaptée","Sous les seuils")))</f>
        <v/>
      </c>
      <c r="AN13" s="58">
        <f>MIN(Site_Population_maximum,MAX(Site_Population_minimum,ROUND($B13,0)))</f>
        <v/>
      </c>
      <c r="AO13" s="62">
        <f>Site_Prix_ancre*(AN13/Site_Population_ancre)^Site_Exposant</f>
        <v/>
      </c>
      <c r="AP13" s="63">
        <f>IF(AN13&lt;=Site_Chantiers_demi_poids_sous,Site_Poids_chantiers/2,IF(AN13&gt;=Site_Chantiers_plein_poids_des,Site_Poids_chantiers,Site_Poids_chantiers*(0.5+0.5*(LN(AN13)-LN(Site_Chantiers_demi_poids_sous))/(LN(Site_Chantiers_plein_poids_des)-LN(Site_Chantiers_demi_poids_sous)))))</f>
        <v/>
      </c>
      <c r="AQ13" s="62">
        <f>IF($C13="Oui",AO13*Site_Poids_carte,0)</f>
        <v/>
      </c>
      <c r="AR13" s="62">
        <f>IF($D13="Oui",AO13*Site_Poids_travaux,0)</f>
        <v/>
      </c>
      <c r="AS13" s="62">
        <f>IF($E13="Oui",AO13*Site_Poids_participer,0)</f>
        <v/>
      </c>
      <c r="AT13" s="62">
        <f>IF($F13="Oui",AO13*Site_Poids_diagnostic,0)</f>
        <v/>
      </c>
      <c r="AU13" s="62">
        <f>IF($G13="Oui",AO13*AP13,0)</f>
        <v/>
      </c>
      <c r="AV13" s="62">
        <f>SUM(AQ13:AU13)</f>
        <v/>
      </c>
      <c r="AW13" s="64">
        <f>COUNTIF($C13:$G13,"Oui")</f>
        <v/>
      </c>
      <c r="AX13" s="65">
        <f>MIN(0.9,MAX(0,AW13-1)*Site_Remise_par_module_ajoute)</f>
        <v/>
      </c>
      <c r="AY13" s="62">
        <f>MAX(AQ13:AU13)*AX13</f>
        <v/>
      </c>
      <c r="AZ13" s="62">
        <f>AV13-AY13</f>
        <v/>
      </c>
      <c r="BA13" s="65">
        <f>IFERROR(VLOOKUP($H13,Table_engagements,2,FALSE),0)</f>
        <v/>
      </c>
      <c r="BB13" s="62">
        <f>AZ13*BA13</f>
        <v/>
      </c>
      <c r="BC13" s="62">
        <f>AZ13-BB13</f>
        <v/>
      </c>
      <c r="BD13" s="62">
        <f>BC13*12</f>
        <v/>
      </c>
      <c r="BE13" s="62">
        <f>IF(AN13&lt;Site_Mise_en_service_offerte_sous,0,BC13*Site_Mise_en_service_mois)</f>
        <v/>
      </c>
      <c r="BF13" s="62">
        <f>BE13+BD13*IF(N($H13)&gt;0,$H13,1)</f>
        <v/>
      </c>
      <c r="BG13" s="66">
        <f>IF(BF13&gt;=Seuil_3,"Procédure formalisée",IF(BF13&gt;=Seuil_2,"Publicité obligatoire",IF(BF13&gt;=Seuil_1,"Procédure adaptée","Sous les seuils")))</f>
        <v/>
      </c>
    </row>
    <row r="14">
      <c r="A14" s="15" t="n"/>
      <c r="B14" s="14" t="n"/>
      <c r="C14" s="40" t="n"/>
      <c r="D14" s="40" t="n"/>
      <c r="E14" s="40" t="n"/>
      <c r="F14" s="40" t="n"/>
      <c r="G14" s="40" t="n"/>
      <c r="H14" s="41" t="n"/>
      <c r="I14" s="47">
        <f>IF($B14="","",AH14)</f>
        <v/>
      </c>
      <c r="J14" s="42">
        <f>IF($B14="","",AI14)</f>
        <v/>
      </c>
      <c r="K14" s="42">
        <f>IF($B14="","",AJ14)</f>
        <v/>
      </c>
      <c r="L14" s="47">
        <f>IF($B14="","",AK14)</f>
        <v/>
      </c>
      <c r="M14" s="67">
        <f>IF($B14="","",AL14)</f>
        <v/>
      </c>
      <c r="N14" s="16">
        <f>IF($B14="","",BC14)</f>
        <v/>
      </c>
      <c r="O14" s="16">
        <f>IF($B14="","",BF14)</f>
        <v/>
      </c>
      <c r="P14" s="43">
        <f>IF($B14="","",AH14-BC14)</f>
        <v/>
      </c>
      <c r="Q14" s="53">
        <f>IF(OR($B14="",BC14=0),"",AH14/BC14-1)</f>
        <v/>
      </c>
      <c r="S14" s="58">
        <f>MIN(Population_maximum,MAX(Population_minimum,ROUND($B14,0)))</f>
        <v/>
      </c>
      <c r="T14" s="62">
        <f>Prix_ancre*(S14/Population_ancre)^Exposant</f>
        <v/>
      </c>
      <c r="U14" s="63">
        <f>IF(S14&lt;=Chantiers_demi_poids_sous,Poids_chantiers/2,IF(S14&gt;=Chantiers_plein_poids_des,Poids_chantiers,Poids_chantiers*(0.5+0.5*(LN(S14)-LN(Chantiers_demi_poids_sous))/(LN(Chantiers_plein_poids_des)-LN(Chantiers_demi_poids_sous)))))</f>
        <v/>
      </c>
      <c r="V14" s="62">
        <f>IF($C14="Oui",T14*Poids_carte,0)</f>
        <v/>
      </c>
      <c r="W14" s="62">
        <f>IF($D14="Oui",T14*Poids_travaux,0)</f>
        <v/>
      </c>
      <c r="X14" s="62">
        <f>IF($E14="Oui",T14*Poids_participer,0)</f>
        <v/>
      </c>
      <c r="Y14" s="62">
        <f>IF($F14="Oui",T14*Poids_diagnostic,0)</f>
        <v/>
      </c>
      <c r="Z14" s="62">
        <f>IF($G14="Oui",T14*U14,0)</f>
        <v/>
      </c>
      <c r="AA14" s="62">
        <f>SUM(V14:Z14)</f>
        <v/>
      </c>
      <c r="AB14" s="64">
        <f>COUNTIF($C14:$G14,"Oui")</f>
        <v/>
      </c>
      <c r="AC14" s="65">
        <f>MIN(0.9,MAX(0,AB14-1)*Remise_par_module_ajoute)</f>
        <v/>
      </c>
      <c r="AD14" s="62">
        <f>MAX(V14:Z14)*AC14</f>
        <v/>
      </c>
      <c r="AE14" s="62">
        <f>AA14-AD14</f>
        <v/>
      </c>
      <c r="AF14" s="65">
        <f>IFERROR(VLOOKUP($H14,Table_engagements,3,FALSE),0)</f>
        <v/>
      </c>
      <c r="AG14" s="62">
        <f>AE14*AF14</f>
        <v/>
      </c>
      <c r="AH14" s="62">
        <f>AE14-AG14</f>
        <v/>
      </c>
      <c r="AI14" s="62">
        <f>AH14*12</f>
        <v/>
      </c>
      <c r="AJ14" s="62">
        <f>IF(S14&lt;Mise_en_service_offerte_sous,0,AH14*Mise_en_service_mois)</f>
        <v/>
      </c>
      <c r="AK14" s="62">
        <f>AJ14+AI14*IF(N($H14)&gt;0,$H14,1)</f>
        <v/>
      </c>
      <c r="AL14" s="66">
        <f>IF(AK14&gt;=Seuil_3,"Procédure formalisée",IF(AK14&gt;=Seuil_2,"Publicité obligatoire",IF(AK14&gt;=Seuil_1,"Procédure adaptée","Sous les seuils")))</f>
        <v/>
      </c>
      <c r="AN14" s="58">
        <f>MIN(Site_Population_maximum,MAX(Site_Population_minimum,ROUND($B14,0)))</f>
        <v/>
      </c>
      <c r="AO14" s="62">
        <f>Site_Prix_ancre*(AN14/Site_Population_ancre)^Site_Exposant</f>
        <v/>
      </c>
      <c r="AP14" s="63">
        <f>IF(AN14&lt;=Site_Chantiers_demi_poids_sous,Site_Poids_chantiers/2,IF(AN14&gt;=Site_Chantiers_plein_poids_des,Site_Poids_chantiers,Site_Poids_chantiers*(0.5+0.5*(LN(AN14)-LN(Site_Chantiers_demi_poids_sous))/(LN(Site_Chantiers_plein_poids_des)-LN(Site_Chantiers_demi_poids_sous)))))</f>
        <v/>
      </c>
      <c r="AQ14" s="62">
        <f>IF($C14="Oui",AO14*Site_Poids_carte,0)</f>
        <v/>
      </c>
      <c r="AR14" s="62">
        <f>IF($D14="Oui",AO14*Site_Poids_travaux,0)</f>
        <v/>
      </c>
      <c r="AS14" s="62">
        <f>IF($E14="Oui",AO14*Site_Poids_participer,0)</f>
        <v/>
      </c>
      <c r="AT14" s="62">
        <f>IF($F14="Oui",AO14*Site_Poids_diagnostic,0)</f>
        <v/>
      </c>
      <c r="AU14" s="62">
        <f>IF($G14="Oui",AO14*AP14,0)</f>
        <v/>
      </c>
      <c r="AV14" s="62">
        <f>SUM(AQ14:AU14)</f>
        <v/>
      </c>
      <c r="AW14" s="64">
        <f>COUNTIF($C14:$G14,"Oui")</f>
        <v/>
      </c>
      <c r="AX14" s="65">
        <f>MIN(0.9,MAX(0,AW14-1)*Site_Remise_par_module_ajoute)</f>
        <v/>
      </c>
      <c r="AY14" s="62">
        <f>MAX(AQ14:AU14)*AX14</f>
        <v/>
      </c>
      <c r="AZ14" s="62">
        <f>AV14-AY14</f>
        <v/>
      </c>
      <c r="BA14" s="65">
        <f>IFERROR(VLOOKUP($H14,Table_engagements,2,FALSE),0)</f>
        <v/>
      </c>
      <c r="BB14" s="62">
        <f>AZ14*BA14</f>
        <v/>
      </c>
      <c r="BC14" s="62">
        <f>AZ14-BB14</f>
        <v/>
      </c>
      <c r="BD14" s="62">
        <f>BC14*12</f>
        <v/>
      </c>
      <c r="BE14" s="62">
        <f>IF(AN14&lt;Site_Mise_en_service_offerte_sous,0,BC14*Site_Mise_en_service_mois)</f>
        <v/>
      </c>
      <c r="BF14" s="62">
        <f>BE14+BD14*IF(N($H14)&gt;0,$H14,1)</f>
        <v/>
      </c>
      <c r="BG14" s="66">
        <f>IF(BF14&gt;=Seuil_3,"Procédure formalisée",IF(BF14&gt;=Seuil_2,"Publicité obligatoire",IF(BF14&gt;=Seuil_1,"Procédure adaptée","Sous les seuils")))</f>
        <v/>
      </c>
    </row>
    <row r="15">
      <c r="A15" s="15" t="n"/>
      <c r="B15" s="14" t="n"/>
      <c r="C15" s="40" t="n"/>
      <c r="D15" s="40" t="n"/>
      <c r="E15" s="40" t="n"/>
      <c r="F15" s="40" t="n"/>
      <c r="G15" s="40" t="n"/>
      <c r="H15" s="41" t="n"/>
      <c r="I15" s="47">
        <f>IF($B15="","",AH15)</f>
        <v/>
      </c>
      <c r="J15" s="42">
        <f>IF($B15="","",AI15)</f>
        <v/>
      </c>
      <c r="K15" s="42">
        <f>IF($B15="","",AJ15)</f>
        <v/>
      </c>
      <c r="L15" s="47">
        <f>IF($B15="","",AK15)</f>
        <v/>
      </c>
      <c r="M15" s="67">
        <f>IF($B15="","",AL15)</f>
        <v/>
      </c>
      <c r="N15" s="16">
        <f>IF($B15="","",BC15)</f>
        <v/>
      </c>
      <c r="O15" s="16">
        <f>IF($B15="","",BF15)</f>
        <v/>
      </c>
      <c r="P15" s="43">
        <f>IF($B15="","",AH15-BC15)</f>
        <v/>
      </c>
      <c r="Q15" s="53">
        <f>IF(OR($B15="",BC15=0),"",AH15/BC15-1)</f>
        <v/>
      </c>
      <c r="S15" s="58">
        <f>MIN(Population_maximum,MAX(Population_minimum,ROUND($B15,0)))</f>
        <v/>
      </c>
      <c r="T15" s="62">
        <f>Prix_ancre*(S15/Population_ancre)^Exposant</f>
        <v/>
      </c>
      <c r="U15" s="63">
        <f>IF(S15&lt;=Chantiers_demi_poids_sous,Poids_chantiers/2,IF(S15&gt;=Chantiers_plein_poids_des,Poids_chantiers,Poids_chantiers*(0.5+0.5*(LN(S15)-LN(Chantiers_demi_poids_sous))/(LN(Chantiers_plein_poids_des)-LN(Chantiers_demi_poids_sous)))))</f>
        <v/>
      </c>
      <c r="V15" s="62">
        <f>IF($C15="Oui",T15*Poids_carte,0)</f>
        <v/>
      </c>
      <c r="W15" s="62">
        <f>IF($D15="Oui",T15*Poids_travaux,0)</f>
        <v/>
      </c>
      <c r="X15" s="62">
        <f>IF($E15="Oui",T15*Poids_participer,0)</f>
        <v/>
      </c>
      <c r="Y15" s="62">
        <f>IF($F15="Oui",T15*Poids_diagnostic,0)</f>
        <v/>
      </c>
      <c r="Z15" s="62">
        <f>IF($G15="Oui",T15*U15,0)</f>
        <v/>
      </c>
      <c r="AA15" s="62">
        <f>SUM(V15:Z15)</f>
        <v/>
      </c>
      <c r="AB15" s="64">
        <f>COUNTIF($C15:$G15,"Oui")</f>
        <v/>
      </c>
      <c r="AC15" s="65">
        <f>MIN(0.9,MAX(0,AB15-1)*Remise_par_module_ajoute)</f>
        <v/>
      </c>
      <c r="AD15" s="62">
        <f>MAX(V15:Z15)*AC15</f>
        <v/>
      </c>
      <c r="AE15" s="62">
        <f>AA15-AD15</f>
        <v/>
      </c>
      <c r="AF15" s="65">
        <f>IFERROR(VLOOKUP($H15,Table_engagements,3,FALSE),0)</f>
        <v/>
      </c>
      <c r="AG15" s="62">
        <f>AE15*AF15</f>
        <v/>
      </c>
      <c r="AH15" s="62">
        <f>AE15-AG15</f>
        <v/>
      </c>
      <c r="AI15" s="62">
        <f>AH15*12</f>
        <v/>
      </c>
      <c r="AJ15" s="62">
        <f>IF(S15&lt;Mise_en_service_offerte_sous,0,AH15*Mise_en_service_mois)</f>
        <v/>
      </c>
      <c r="AK15" s="62">
        <f>AJ15+AI15*IF(N($H15)&gt;0,$H15,1)</f>
        <v/>
      </c>
      <c r="AL15" s="66">
        <f>IF(AK15&gt;=Seuil_3,"Procédure formalisée",IF(AK15&gt;=Seuil_2,"Publicité obligatoire",IF(AK15&gt;=Seuil_1,"Procédure adaptée","Sous les seuils")))</f>
        <v/>
      </c>
      <c r="AN15" s="58">
        <f>MIN(Site_Population_maximum,MAX(Site_Population_minimum,ROUND($B15,0)))</f>
        <v/>
      </c>
      <c r="AO15" s="62">
        <f>Site_Prix_ancre*(AN15/Site_Population_ancre)^Site_Exposant</f>
        <v/>
      </c>
      <c r="AP15" s="63">
        <f>IF(AN15&lt;=Site_Chantiers_demi_poids_sous,Site_Poids_chantiers/2,IF(AN15&gt;=Site_Chantiers_plein_poids_des,Site_Poids_chantiers,Site_Poids_chantiers*(0.5+0.5*(LN(AN15)-LN(Site_Chantiers_demi_poids_sous))/(LN(Site_Chantiers_plein_poids_des)-LN(Site_Chantiers_demi_poids_sous)))))</f>
        <v/>
      </c>
      <c r="AQ15" s="62">
        <f>IF($C15="Oui",AO15*Site_Poids_carte,0)</f>
        <v/>
      </c>
      <c r="AR15" s="62">
        <f>IF($D15="Oui",AO15*Site_Poids_travaux,0)</f>
        <v/>
      </c>
      <c r="AS15" s="62">
        <f>IF($E15="Oui",AO15*Site_Poids_participer,0)</f>
        <v/>
      </c>
      <c r="AT15" s="62">
        <f>IF($F15="Oui",AO15*Site_Poids_diagnostic,0)</f>
        <v/>
      </c>
      <c r="AU15" s="62">
        <f>IF($G15="Oui",AO15*AP15,0)</f>
        <v/>
      </c>
      <c r="AV15" s="62">
        <f>SUM(AQ15:AU15)</f>
        <v/>
      </c>
      <c r="AW15" s="64">
        <f>COUNTIF($C15:$G15,"Oui")</f>
        <v/>
      </c>
      <c r="AX15" s="65">
        <f>MIN(0.9,MAX(0,AW15-1)*Site_Remise_par_module_ajoute)</f>
        <v/>
      </c>
      <c r="AY15" s="62">
        <f>MAX(AQ15:AU15)*AX15</f>
        <v/>
      </c>
      <c r="AZ15" s="62">
        <f>AV15-AY15</f>
        <v/>
      </c>
      <c r="BA15" s="65">
        <f>IFERROR(VLOOKUP($H15,Table_engagements,2,FALSE),0)</f>
        <v/>
      </c>
      <c r="BB15" s="62">
        <f>AZ15*BA15</f>
        <v/>
      </c>
      <c r="BC15" s="62">
        <f>AZ15-BB15</f>
        <v/>
      </c>
      <c r="BD15" s="62">
        <f>BC15*12</f>
        <v/>
      </c>
      <c r="BE15" s="62">
        <f>IF(AN15&lt;Site_Mise_en_service_offerte_sous,0,BC15*Site_Mise_en_service_mois)</f>
        <v/>
      </c>
      <c r="BF15" s="62">
        <f>BE15+BD15*IF(N($H15)&gt;0,$H15,1)</f>
        <v/>
      </c>
      <c r="BG15" s="66">
        <f>IF(BF15&gt;=Seuil_3,"Procédure formalisée",IF(BF15&gt;=Seuil_2,"Publicité obligatoire",IF(BF15&gt;=Seuil_1,"Procédure adaptée","Sous les seuils")))</f>
        <v/>
      </c>
    </row>
    <row r="16">
      <c r="A16" s="15" t="n"/>
      <c r="B16" s="14" t="n"/>
      <c r="C16" s="40" t="n"/>
      <c r="D16" s="40" t="n"/>
      <c r="E16" s="40" t="n"/>
      <c r="F16" s="40" t="n"/>
      <c r="G16" s="40" t="n"/>
      <c r="H16" s="41" t="n"/>
      <c r="I16" s="47">
        <f>IF($B16="","",AH16)</f>
        <v/>
      </c>
      <c r="J16" s="42">
        <f>IF($B16="","",AI16)</f>
        <v/>
      </c>
      <c r="K16" s="42">
        <f>IF($B16="","",AJ16)</f>
        <v/>
      </c>
      <c r="L16" s="47">
        <f>IF($B16="","",AK16)</f>
        <v/>
      </c>
      <c r="M16" s="67">
        <f>IF($B16="","",AL16)</f>
        <v/>
      </c>
      <c r="N16" s="16">
        <f>IF($B16="","",BC16)</f>
        <v/>
      </c>
      <c r="O16" s="16">
        <f>IF($B16="","",BF16)</f>
        <v/>
      </c>
      <c r="P16" s="43">
        <f>IF($B16="","",AH16-BC16)</f>
        <v/>
      </c>
      <c r="Q16" s="53">
        <f>IF(OR($B16="",BC16=0),"",AH16/BC16-1)</f>
        <v/>
      </c>
      <c r="S16" s="58">
        <f>MIN(Population_maximum,MAX(Population_minimum,ROUND($B16,0)))</f>
        <v/>
      </c>
      <c r="T16" s="62">
        <f>Prix_ancre*(S16/Population_ancre)^Exposant</f>
        <v/>
      </c>
      <c r="U16" s="63">
        <f>IF(S16&lt;=Chantiers_demi_poids_sous,Poids_chantiers/2,IF(S16&gt;=Chantiers_plein_poids_des,Poids_chantiers,Poids_chantiers*(0.5+0.5*(LN(S16)-LN(Chantiers_demi_poids_sous))/(LN(Chantiers_plein_poids_des)-LN(Chantiers_demi_poids_sous)))))</f>
        <v/>
      </c>
      <c r="V16" s="62">
        <f>IF($C16="Oui",T16*Poids_carte,0)</f>
        <v/>
      </c>
      <c r="W16" s="62">
        <f>IF($D16="Oui",T16*Poids_travaux,0)</f>
        <v/>
      </c>
      <c r="X16" s="62">
        <f>IF($E16="Oui",T16*Poids_participer,0)</f>
        <v/>
      </c>
      <c r="Y16" s="62">
        <f>IF($F16="Oui",T16*Poids_diagnostic,0)</f>
        <v/>
      </c>
      <c r="Z16" s="62">
        <f>IF($G16="Oui",T16*U16,0)</f>
        <v/>
      </c>
      <c r="AA16" s="62">
        <f>SUM(V16:Z16)</f>
        <v/>
      </c>
      <c r="AB16" s="64">
        <f>COUNTIF($C16:$G16,"Oui")</f>
        <v/>
      </c>
      <c r="AC16" s="65">
        <f>MIN(0.9,MAX(0,AB16-1)*Remise_par_module_ajoute)</f>
        <v/>
      </c>
      <c r="AD16" s="62">
        <f>MAX(V16:Z16)*AC16</f>
        <v/>
      </c>
      <c r="AE16" s="62">
        <f>AA16-AD16</f>
        <v/>
      </c>
      <c r="AF16" s="65">
        <f>IFERROR(VLOOKUP($H16,Table_engagements,3,FALSE),0)</f>
        <v/>
      </c>
      <c r="AG16" s="62">
        <f>AE16*AF16</f>
        <v/>
      </c>
      <c r="AH16" s="62">
        <f>AE16-AG16</f>
        <v/>
      </c>
      <c r="AI16" s="62">
        <f>AH16*12</f>
        <v/>
      </c>
      <c r="AJ16" s="62">
        <f>IF(S16&lt;Mise_en_service_offerte_sous,0,AH16*Mise_en_service_mois)</f>
        <v/>
      </c>
      <c r="AK16" s="62">
        <f>AJ16+AI16*IF(N($H16)&gt;0,$H16,1)</f>
        <v/>
      </c>
      <c r="AL16" s="66">
        <f>IF(AK16&gt;=Seuil_3,"Procédure formalisée",IF(AK16&gt;=Seuil_2,"Publicité obligatoire",IF(AK16&gt;=Seuil_1,"Procédure adaptée","Sous les seuils")))</f>
        <v/>
      </c>
      <c r="AN16" s="58">
        <f>MIN(Site_Population_maximum,MAX(Site_Population_minimum,ROUND($B16,0)))</f>
        <v/>
      </c>
      <c r="AO16" s="62">
        <f>Site_Prix_ancre*(AN16/Site_Population_ancre)^Site_Exposant</f>
        <v/>
      </c>
      <c r="AP16" s="63">
        <f>IF(AN16&lt;=Site_Chantiers_demi_poids_sous,Site_Poids_chantiers/2,IF(AN16&gt;=Site_Chantiers_plein_poids_des,Site_Poids_chantiers,Site_Poids_chantiers*(0.5+0.5*(LN(AN16)-LN(Site_Chantiers_demi_poids_sous))/(LN(Site_Chantiers_plein_poids_des)-LN(Site_Chantiers_demi_poids_sous)))))</f>
        <v/>
      </c>
      <c r="AQ16" s="62">
        <f>IF($C16="Oui",AO16*Site_Poids_carte,0)</f>
        <v/>
      </c>
      <c r="AR16" s="62">
        <f>IF($D16="Oui",AO16*Site_Poids_travaux,0)</f>
        <v/>
      </c>
      <c r="AS16" s="62">
        <f>IF($E16="Oui",AO16*Site_Poids_participer,0)</f>
        <v/>
      </c>
      <c r="AT16" s="62">
        <f>IF($F16="Oui",AO16*Site_Poids_diagnostic,0)</f>
        <v/>
      </c>
      <c r="AU16" s="62">
        <f>IF($G16="Oui",AO16*AP16,0)</f>
        <v/>
      </c>
      <c r="AV16" s="62">
        <f>SUM(AQ16:AU16)</f>
        <v/>
      </c>
      <c r="AW16" s="64">
        <f>COUNTIF($C16:$G16,"Oui")</f>
        <v/>
      </c>
      <c r="AX16" s="65">
        <f>MIN(0.9,MAX(0,AW16-1)*Site_Remise_par_module_ajoute)</f>
        <v/>
      </c>
      <c r="AY16" s="62">
        <f>MAX(AQ16:AU16)*AX16</f>
        <v/>
      </c>
      <c r="AZ16" s="62">
        <f>AV16-AY16</f>
        <v/>
      </c>
      <c r="BA16" s="65">
        <f>IFERROR(VLOOKUP($H16,Table_engagements,2,FALSE),0)</f>
        <v/>
      </c>
      <c r="BB16" s="62">
        <f>AZ16*BA16</f>
        <v/>
      </c>
      <c r="BC16" s="62">
        <f>AZ16-BB16</f>
        <v/>
      </c>
      <c r="BD16" s="62">
        <f>BC16*12</f>
        <v/>
      </c>
      <c r="BE16" s="62">
        <f>IF(AN16&lt;Site_Mise_en_service_offerte_sous,0,BC16*Site_Mise_en_service_mois)</f>
        <v/>
      </c>
      <c r="BF16" s="62">
        <f>BE16+BD16*IF(N($H16)&gt;0,$H16,1)</f>
        <v/>
      </c>
      <c r="BG16" s="66">
        <f>IF(BF16&gt;=Seuil_3,"Procédure formalisée",IF(BF16&gt;=Seuil_2,"Publicité obligatoire",IF(BF16&gt;=Seuil_1,"Procédure adaptée","Sous les seuils")))</f>
        <v/>
      </c>
    </row>
    <row r="17">
      <c r="A17" s="15" t="n"/>
      <c r="B17" s="14" t="n"/>
      <c r="C17" s="40" t="n"/>
      <c r="D17" s="40" t="n"/>
      <c r="E17" s="40" t="n"/>
      <c r="F17" s="40" t="n"/>
      <c r="G17" s="40" t="n"/>
      <c r="H17" s="41" t="n"/>
      <c r="I17" s="47">
        <f>IF($B17="","",AH17)</f>
        <v/>
      </c>
      <c r="J17" s="42">
        <f>IF($B17="","",AI17)</f>
        <v/>
      </c>
      <c r="K17" s="42">
        <f>IF($B17="","",AJ17)</f>
        <v/>
      </c>
      <c r="L17" s="47">
        <f>IF($B17="","",AK17)</f>
        <v/>
      </c>
      <c r="M17" s="67">
        <f>IF($B17="","",AL17)</f>
        <v/>
      </c>
      <c r="N17" s="16">
        <f>IF($B17="","",BC17)</f>
        <v/>
      </c>
      <c r="O17" s="16">
        <f>IF($B17="","",BF17)</f>
        <v/>
      </c>
      <c r="P17" s="43">
        <f>IF($B17="","",AH17-BC17)</f>
        <v/>
      </c>
      <c r="Q17" s="53">
        <f>IF(OR($B17="",BC17=0),"",AH17/BC17-1)</f>
        <v/>
      </c>
      <c r="S17" s="58">
        <f>MIN(Population_maximum,MAX(Population_minimum,ROUND($B17,0)))</f>
        <v/>
      </c>
      <c r="T17" s="62">
        <f>Prix_ancre*(S17/Population_ancre)^Exposant</f>
        <v/>
      </c>
      <c r="U17" s="63">
        <f>IF(S17&lt;=Chantiers_demi_poids_sous,Poids_chantiers/2,IF(S17&gt;=Chantiers_plein_poids_des,Poids_chantiers,Poids_chantiers*(0.5+0.5*(LN(S17)-LN(Chantiers_demi_poids_sous))/(LN(Chantiers_plein_poids_des)-LN(Chantiers_demi_poids_sous)))))</f>
        <v/>
      </c>
      <c r="V17" s="62">
        <f>IF($C17="Oui",T17*Poids_carte,0)</f>
        <v/>
      </c>
      <c r="W17" s="62">
        <f>IF($D17="Oui",T17*Poids_travaux,0)</f>
        <v/>
      </c>
      <c r="X17" s="62">
        <f>IF($E17="Oui",T17*Poids_participer,0)</f>
        <v/>
      </c>
      <c r="Y17" s="62">
        <f>IF($F17="Oui",T17*Poids_diagnostic,0)</f>
        <v/>
      </c>
      <c r="Z17" s="62">
        <f>IF($G17="Oui",T17*U17,0)</f>
        <v/>
      </c>
      <c r="AA17" s="62">
        <f>SUM(V17:Z17)</f>
        <v/>
      </c>
      <c r="AB17" s="64">
        <f>COUNTIF($C17:$G17,"Oui")</f>
        <v/>
      </c>
      <c r="AC17" s="65">
        <f>MIN(0.9,MAX(0,AB17-1)*Remise_par_module_ajoute)</f>
        <v/>
      </c>
      <c r="AD17" s="62">
        <f>MAX(V17:Z17)*AC17</f>
        <v/>
      </c>
      <c r="AE17" s="62">
        <f>AA17-AD17</f>
        <v/>
      </c>
      <c r="AF17" s="65">
        <f>IFERROR(VLOOKUP($H17,Table_engagements,3,FALSE),0)</f>
        <v/>
      </c>
      <c r="AG17" s="62">
        <f>AE17*AF17</f>
        <v/>
      </c>
      <c r="AH17" s="62">
        <f>AE17-AG17</f>
        <v/>
      </c>
      <c r="AI17" s="62">
        <f>AH17*12</f>
        <v/>
      </c>
      <c r="AJ17" s="62">
        <f>IF(S17&lt;Mise_en_service_offerte_sous,0,AH17*Mise_en_service_mois)</f>
        <v/>
      </c>
      <c r="AK17" s="62">
        <f>AJ17+AI17*IF(N($H17)&gt;0,$H17,1)</f>
        <v/>
      </c>
      <c r="AL17" s="66">
        <f>IF(AK17&gt;=Seuil_3,"Procédure formalisée",IF(AK17&gt;=Seuil_2,"Publicité obligatoire",IF(AK17&gt;=Seuil_1,"Procédure adaptée","Sous les seuils")))</f>
        <v/>
      </c>
      <c r="AN17" s="58">
        <f>MIN(Site_Population_maximum,MAX(Site_Population_minimum,ROUND($B17,0)))</f>
        <v/>
      </c>
      <c r="AO17" s="62">
        <f>Site_Prix_ancre*(AN17/Site_Population_ancre)^Site_Exposant</f>
        <v/>
      </c>
      <c r="AP17" s="63">
        <f>IF(AN17&lt;=Site_Chantiers_demi_poids_sous,Site_Poids_chantiers/2,IF(AN17&gt;=Site_Chantiers_plein_poids_des,Site_Poids_chantiers,Site_Poids_chantiers*(0.5+0.5*(LN(AN17)-LN(Site_Chantiers_demi_poids_sous))/(LN(Site_Chantiers_plein_poids_des)-LN(Site_Chantiers_demi_poids_sous)))))</f>
        <v/>
      </c>
      <c r="AQ17" s="62">
        <f>IF($C17="Oui",AO17*Site_Poids_carte,0)</f>
        <v/>
      </c>
      <c r="AR17" s="62">
        <f>IF($D17="Oui",AO17*Site_Poids_travaux,0)</f>
        <v/>
      </c>
      <c r="AS17" s="62">
        <f>IF($E17="Oui",AO17*Site_Poids_participer,0)</f>
        <v/>
      </c>
      <c r="AT17" s="62">
        <f>IF($F17="Oui",AO17*Site_Poids_diagnostic,0)</f>
        <v/>
      </c>
      <c r="AU17" s="62">
        <f>IF($G17="Oui",AO17*AP17,0)</f>
        <v/>
      </c>
      <c r="AV17" s="62">
        <f>SUM(AQ17:AU17)</f>
        <v/>
      </c>
      <c r="AW17" s="64">
        <f>COUNTIF($C17:$G17,"Oui")</f>
        <v/>
      </c>
      <c r="AX17" s="65">
        <f>MIN(0.9,MAX(0,AW17-1)*Site_Remise_par_module_ajoute)</f>
        <v/>
      </c>
      <c r="AY17" s="62">
        <f>MAX(AQ17:AU17)*AX17</f>
        <v/>
      </c>
      <c r="AZ17" s="62">
        <f>AV17-AY17</f>
        <v/>
      </c>
      <c r="BA17" s="65">
        <f>IFERROR(VLOOKUP($H17,Table_engagements,2,FALSE),0)</f>
        <v/>
      </c>
      <c r="BB17" s="62">
        <f>AZ17*BA17</f>
        <v/>
      </c>
      <c r="BC17" s="62">
        <f>AZ17-BB17</f>
        <v/>
      </c>
      <c r="BD17" s="62">
        <f>BC17*12</f>
        <v/>
      </c>
      <c r="BE17" s="62">
        <f>IF(AN17&lt;Site_Mise_en_service_offerte_sous,0,BC17*Site_Mise_en_service_mois)</f>
        <v/>
      </c>
      <c r="BF17" s="62">
        <f>BE17+BD17*IF(N($H17)&gt;0,$H17,1)</f>
        <v/>
      </c>
      <c r="BG17" s="66">
        <f>IF(BF17&gt;=Seuil_3,"Procédure formalisée",IF(BF17&gt;=Seuil_2,"Publicité obligatoire",IF(BF17&gt;=Seuil_1,"Procédure adaptée","Sous les seuils")))</f>
        <v/>
      </c>
    </row>
    <row r="18">
      <c r="A18" s="15" t="n"/>
      <c r="B18" s="14" t="n"/>
      <c r="C18" s="40" t="n"/>
      <c r="D18" s="40" t="n"/>
      <c r="E18" s="40" t="n"/>
      <c r="F18" s="40" t="n"/>
      <c r="G18" s="40" t="n"/>
      <c r="H18" s="41" t="n"/>
      <c r="I18" s="47">
        <f>IF($B18="","",AH18)</f>
        <v/>
      </c>
      <c r="J18" s="42">
        <f>IF($B18="","",AI18)</f>
        <v/>
      </c>
      <c r="K18" s="42">
        <f>IF($B18="","",AJ18)</f>
        <v/>
      </c>
      <c r="L18" s="47">
        <f>IF($B18="","",AK18)</f>
        <v/>
      </c>
      <c r="M18" s="67">
        <f>IF($B18="","",AL18)</f>
        <v/>
      </c>
      <c r="N18" s="16">
        <f>IF($B18="","",BC18)</f>
        <v/>
      </c>
      <c r="O18" s="16">
        <f>IF($B18="","",BF18)</f>
        <v/>
      </c>
      <c r="P18" s="43">
        <f>IF($B18="","",AH18-BC18)</f>
        <v/>
      </c>
      <c r="Q18" s="53">
        <f>IF(OR($B18="",BC18=0),"",AH18/BC18-1)</f>
        <v/>
      </c>
      <c r="S18" s="58">
        <f>MIN(Population_maximum,MAX(Population_minimum,ROUND($B18,0)))</f>
        <v/>
      </c>
      <c r="T18" s="62">
        <f>Prix_ancre*(S18/Population_ancre)^Exposant</f>
        <v/>
      </c>
      <c r="U18" s="63">
        <f>IF(S18&lt;=Chantiers_demi_poids_sous,Poids_chantiers/2,IF(S18&gt;=Chantiers_plein_poids_des,Poids_chantiers,Poids_chantiers*(0.5+0.5*(LN(S18)-LN(Chantiers_demi_poids_sous))/(LN(Chantiers_plein_poids_des)-LN(Chantiers_demi_poids_sous)))))</f>
        <v/>
      </c>
      <c r="V18" s="62">
        <f>IF($C18="Oui",T18*Poids_carte,0)</f>
        <v/>
      </c>
      <c r="W18" s="62">
        <f>IF($D18="Oui",T18*Poids_travaux,0)</f>
        <v/>
      </c>
      <c r="X18" s="62">
        <f>IF($E18="Oui",T18*Poids_participer,0)</f>
        <v/>
      </c>
      <c r="Y18" s="62">
        <f>IF($F18="Oui",T18*Poids_diagnostic,0)</f>
        <v/>
      </c>
      <c r="Z18" s="62">
        <f>IF($G18="Oui",T18*U18,0)</f>
        <v/>
      </c>
      <c r="AA18" s="62">
        <f>SUM(V18:Z18)</f>
        <v/>
      </c>
      <c r="AB18" s="64">
        <f>COUNTIF($C18:$G18,"Oui")</f>
        <v/>
      </c>
      <c r="AC18" s="65">
        <f>MIN(0.9,MAX(0,AB18-1)*Remise_par_module_ajoute)</f>
        <v/>
      </c>
      <c r="AD18" s="62">
        <f>MAX(V18:Z18)*AC18</f>
        <v/>
      </c>
      <c r="AE18" s="62">
        <f>AA18-AD18</f>
        <v/>
      </c>
      <c r="AF18" s="65">
        <f>IFERROR(VLOOKUP($H18,Table_engagements,3,FALSE),0)</f>
        <v/>
      </c>
      <c r="AG18" s="62">
        <f>AE18*AF18</f>
        <v/>
      </c>
      <c r="AH18" s="62">
        <f>AE18-AG18</f>
        <v/>
      </c>
      <c r="AI18" s="62">
        <f>AH18*12</f>
        <v/>
      </c>
      <c r="AJ18" s="62">
        <f>IF(S18&lt;Mise_en_service_offerte_sous,0,AH18*Mise_en_service_mois)</f>
        <v/>
      </c>
      <c r="AK18" s="62">
        <f>AJ18+AI18*IF(N($H18)&gt;0,$H18,1)</f>
        <v/>
      </c>
      <c r="AL18" s="66">
        <f>IF(AK18&gt;=Seuil_3,"Procédure formalisée",IF(AK18&gt;=Seuil_2,"Publicité obligatoire",IF(AK18&gt;=Seuil_1,"Procédure adaptée","Sous les seuils")))</f>
        <v/>
      </c>
      <c r="AN18" s="58">
        <f>MIN(Site_Population_maximum,MAX(Site_Population_minimum,ROUND($B18,0)))</f>
        <v/>
      </c>
      <c r="AO18" s="62">
        <f>Site_Prix_ancre*(AN18/Site_Population_ancre)^Site_Exposant</f>
        <v/>
      </c>
      <c r="AP18" s="63">
        <f>IF(AN18&lt;=Site_Chantiers_demi_poids_sous,Site_Poids_chantiers/2,IF(AN18&gt;=Site_Chantiers_plein_poids_des,Site_Poids_chantiers,Site_Poids_chantiers*(0.5+0.5*(LN(AN18)-LN(Site_Chantiers_demi_poids_sous))/(LN(Site_Chantiers_plein_poids_des)-LN(Site_Chantiers_demi_poids_sous)))))</f>
        <v/>
      </c>
      <c r="AQ18" s="62">
        <f>IF($C18="Oui",AO18*Site_Poids_carte,0)</f>
        <v/>
      </c>
      <c r="AR18" s="62">
        <f>IF($D18="Oui",AO18*Site_Poids_travaux,0)</f>
        <v/>
      </c>
      <c r="AS18" s="62">
        <f>IF($E18="Oui",AO18*Site_Poids_participer,0)</f>
        <v/>
      </c>
      <c r="AT18" s="62">
        <f>IF($F18="Oui",AO18*Site_Poids_diagnostic,0)</f>
        <v/>
      </c>
      <c r="AU18" s="62">
        <f>IF($G18="Oui",AO18*AP18,0)</f>
        <v/>
      </c>
      <c r="AV18" s="62">
        <f>SUM(AQ18:AU18)</f>
        <v/>
      </c>
      <c r="AW18" s="64">
        <f>COUNTIF($C18:$G18,"Oui")</f>
        <v/>
      </c>
      <c r="AX18" s="65">
        <f>MIN(0.9,MAX(0,AW18-1)*Site_Remise_par_module_ajoute)</f>
        <v/>
      </c>
      <c r="AY18" s="62">
        <f>MAX(AQ18:AU18)*AX18</f>
        <v/>
      </c>
      <c r="AZ18" s="62">
        <f>AV18-AY18</f>
        <v/>
      </c>
      <c r="BA18" s="65">
        <f>IFERROR(VLOOKUP($H18,Table_engagements,2,FALSE),0)</f>
        <v/>
      </c>
      <c r="BB18" s="62">
        <f>AZ18*BA18</f>
        <v/>
      </c>
      <c r="BC18" s="62">
        <f>AZ18-BB18</f>
        <v/>
      </c>
      <c r="BD18" s="62">
        <f>BC18*12</f>
        <v/>
      </c>
      <c r="BE18" s="62">
        <f>IF(AN18&lt;Site_Mise_en_service_offerte_sous,0,BC18*Site_Mise_en_service_mois)</f>
        <v/>
      </c>
      <c r="BF18" s="62">
        <f>BE18+BD18*IF(N($H18)&gt;0,$H18,1)</f>
        <v/>
      </c>
      <c r="BG18" s="66">
        <f>IF(BF18&gt;=Seuil_3,"Procédure formalisée",IF(BF18&gt;=Seuil_2,"Publicité obligatoire",IF(BF18&gt;=Seuil_1,"Procédure adaptée","Sous les seuils")))</f>
        <v/>
      </c>
    </row>
    <row r="19">
      <c r="A19" s="15" t="n"/>
      <c r="B19" s="14" t="n"/>
      <c r="C19" s="40" t="n"/>
      <c r="D19" s="40" t="n"/>
      <c r="E19" s="40" t="n"/>
      <c r="F19" s="40" t="n"/>
      <c r="G19" s="40" t="n"/>
      <c r="H19" s="41" t="n"/>
      <c r="I19" s="47">
        <f>IF($B19="","",AH19)</f>
        <v/>
      </c>
      <c r="J19" s="42">
        <f>IF($B19="","",AI19)</f>
        <v/>
      </c>
      <c r="K19" s="42">
        <f>IF($B19="","",AJ19)</f>
        <v/>
      </c>
      <c r="L19" s="47">
        <f>IF($B19="","",AK19)</f>
        <v/>
      </c>
      <c r="M19" s="67">
        <f>IF($B19="","",AL19)</f>
        <v/>
      </c>
      <c r="N19" s="16">
        <f>IF($B19="","",BC19)</f>
        <v/>
      </c>
      <c r="O19" s="16">
        <f>IF($B19="","",BF19)</f>
        <v/>
      </c>
      <c r="P19" s="43">
        <f>IF($B19="","",AH19-BC19)</f>
        <v/>
      </c>
      <c r="Q19" s="53">
        <f>IF(OR($B19="",BC19=0),"",AH19/BC19-1)</f>
        <v/>
      </c>
      <c r="S19" s="58">
        <f>MIN(Population_maximum,MAX(Population_minimum,ROUND($B19,0)))</f>
        <v/>
      </c>
      <c r="T19" s="62">
        <f>Prix_ancre*(S19/Population_ancre)^Exposant</f>
        <v/>
      </c>
      <c r="U19" s="63">
        <f>IF(S19&lt;=Chantiers_demi_poids_sous,Poids_chantiers/2,IF(S19&gt;=Chantiers_plein_poids_des,Poids_chantiers,Poids_chantiers*(0.5+0.5*(LN(S19)-LN(Chantiers_demi_poids_sous))/(LN(Chantiers_plein_poids_des)-LN(Chantiers_demi_poids_sous)))))</f>
        <v/>
      </c>
      <c r="V19" s="62">
        <f>IF($C19="Oui",T19*Poids_carte,0)</f>
        <v/>
      </c>
      <c r="W19" s="62">
        <f>IF($D19="Oui",T19*Poids_travaux,0)</f>
        <v/>
      </c>
      <c r="X19" s="62">
        <f>IF($E19="Oui",T19*Poids_participer,0)</f>
        <v/>
      </c>
      <c r="Y19" s="62">
        <f>IF($F19="Oui",T19*Poids_diagnostic,0)</f>
        <v/>
      </c>
      <c r="Z19" s="62">
        <f>IF($G19="Oui",T19*U19,0)</f>
        <v/>
      </c>
      <c r="AA19" s="62">
        <f>SUM(V19:Z19)</f>
        <v/>
      </c>
      <c r="AB19" s="64">
        <f>COUNTIF($C19:$G19,"Oui")</f>
        <v/>
      </c>
      <c r="AC19" s="65">
        <f>MIN(0.9,MAX(0,AB19-1)*Remise_par_module_ajoute)</f>
        <v/>
      </c>
      <c r="AD19" s="62">
        <f>MAX(V19:Z19)*AC19</f>
        <v/>
      </c>
      <c r="AE19" s="62">
        <f>AA19-AD19</f>
        <v/>
      </c>
      <c r="AF19" s="65">
        <f>IFERROR(VLOOKUP($H19,Table_engagements,3,FALSE),0)</f>
        <v/>
      </c>
      <c r="AG19" s="62">
        <f>AE19*AF19</f>
        <v/>
      </c>
      <c r="AH19" s="62">
        <f>AE19-AG19</f>
        <v/>
      </c>
      <c r="AI19" s="62">
        <f>AH19*12</f>
        <v/>
      </c>
      <c r="AJ19" s="62">
        <f>IF(S19&lt;Mise_en_service_offerte_sous,0,AH19*Mise_en_service_mois)</f>
        <v/>
      </c>
      <c r="AK19" s="62">
        <f>AJ19+AI19*IF(N($H19)&gt;0,$H19,1)</f>
        <v/>
      </c>
      <c r="AL19" s="66">
        <f>IF(AK19&gt;=Seuil_3,"Procédure formalisée",IF(AK19&gt;=Seuil_2,"Publicité obligatoire",IF(AK19&gt;=Seuil_1,"Procédure adaptée","Sous les seuils")))</f>
        <v/>
      </c>
      <c r="AN19" s="58">
        <f>MIN(Site_Population_maximum,MAX(Site_Population_minimum,ROUND($B19,0)))</f>
        <v/>
      </c>
      <c r="AO19" s="62">
        <f>Site_Prix_ancre*(AN19/Site_Population_ancre)^Site_Exposant</f>
        <v/>
      </c>
      <c r="AP19" s="63">
        <f>IF(AN19&lt;=Site_Chantiers_demi_poids_sous,Site_Poids_chantiers/2,IF(AN19&gt;=Site_Chantiers_plein_poids_des,Site_Poids_chantiers,Site_Poids_chantiers*(0.5+0.5*(LN(AN19)-LN(Site_Chantiers_demi_poids_sous))/(LN(Site_Chantiers_plein_poids_des)-LN(Site_Chantiers_demi_poids_sous)))))</f>
        <v/>
      </c>
      <c r="AQ19" s="62">
        <f>IF($C19="Oui",AO19*Site_Poids_carte,0)</f>
        <v/>
      </c>
      <c r="AR19" s="62">
        <f>IF($D19="Oui",AO19*Site_Poids_travaux,0)</f>
        <v/>
      </c>
      <c r="AS19" s="62">
        <f>IF($E19="Oui",AO19*Site_Poids_participer,0)</f>
        <v/>
      </c>
      <c r="AT19" s="62">
        <f>IF($F19="Oui",AO19*Site_Poids_diagnostic,0)</f>
        <v/>
      </c>
      <c r="AU19" s="62">
        <f>IF($G19="Oui",AO19*AP19,0)</f>
        <v/>
      </c>
      <c r="AV19" s="62">
        <f>SUM(AQ19:AU19)</f>
        <v/>
      </c>
      <c r="AW19" s="64">
        <f>COUNTIF($C19:$G19,"Oui")</f>
        <v/>
      </c>
      <c r="AX19" s="65">
        <f>MIN(0.9,MAX(0,AW19-1)*Site_Remise_par_module_ajoute)</f>
        <v/>
      </c>
      <c r="AY19" s="62">
        <f>MAX(AQ19:AU19)*AX19</f>
        <v/>
      </c>
      <c r="AZ19" s="62">
        <f>AV19-AY19</f>
        <v/>
      </c>
      <c r="BA19" s="65">
        <f>IFERROR(VLOOKUP($H19,Table_engagements,2,FALSE),0)</f>
        <v/>
      </c>
      <c r="BB19" s="62">
        <f>AZ19*BA19</f>
        <v/>
      </c>
      <c r="BC19" s="62">
        <f>AZ19-BB19</f>
        <v/>
      </c>
      <c r="BD19" s="62">
        <f>BC19*12</f>
        <v/>
      </c>
      <c r="BE19" s="62">
        <f>IF(AN19&lt;Site_Mise_en_service_offerte_sous,0,BC19*Site_Mise_en_service_mois)</f>
        <v/>
      </c>
      <c r="BF19" s="62">
        <f>BE19+BD19*IF(N($H19)&gt;0,$H19,1)</f>
        <v/>
      </c>
      <c r="BG19" s="66">
        <f>IF(BF19&gt;=Seuil_3,"Procédure formalisée",IF(BF19&gt;=Seuil_2,"Publicité obligatoire",IF(BF19&gt;=Seuil_1,"Procédure adaptée","Sous les seuils")))</f>
        <v/>
      </c>
    </row>
    <row r="20">
      <c r="A20" s="15" t="n"/>
      <c r="B20" s="14" t="n"/>
      <c r="C20" s="40" t="n"/>
      <c r="D20" s="40" t="n"/>
      <c r="E20" s="40" t="n"/>
      <c r="F20" s="40" t="n"/>
      <c r="G20" s="40" t="n"/>
      <c r="H20" s="41" t="n"/>
      <c r="I20" s="47">
        <f>IF($B20="","",AH20)</f>
        <v/>
      </c>
      <c r="J20" s="42">
        <f>IF($B20="","",AI20)</f>
        <v/>
      </c>
      <c r="K20" s="42">
        <f>IF($B20="","",AJ20)</f>
        <v/>
      </c>
      <c r="L20" s="47">
        <f>IF($B20="","",AK20)</f>
        <v/>
      </c>
      <c r="M20" s="67">
        <f>IF($B20="","",AL20)</f>
        <v/>
      </c>
      <c r="N20" s="16">
        <f>IF($B20="","",BC20)</f>
        <v/>
      </c>
      <c r="O20" s="16">
        <f>IF($B20="","",BF20)</f>
        <v/>
      </c>
      <c r="P20" s="43">
        <f>IF($B20="","",AH20-BC20)</f>
        <v/>
      </c>
      <c r="Q20" s="53">
        <f>IF(OR($B20="",BC20=0),"",AH20/BC20-1)</f>
        <v/>
      </c>
      <c r="S20" s="58">
        <f>MIN(Population_maximum,MAX(Population_minimum,ROUND($B20,0)))</f>
        <v/>
      </c>
      <c r="T20" s="62">
        <f>Prix_ancre*(S20/Population_ancre)^Exposant</f>
        <v/>
      </c>
      <c r="U20" s="63">
        <f>IF(S20&lt;=Chantiers_demi_poids_sous,Poids_chantiers/2,IF(S20&gt;=Chantiers_plein_poids_des,Poids_chantiers,Poids_chantiers*(0.5+0.5*(LN(S20)-LN(Chantiers_demi_poids_sous))/(LN(Chantiers_plein_poids_des)-LN(Chantiers_demi_poids_sous)))))</f>
        <v/>
      </c>
      <c r="V20" s="62">
        <f>IF($C20="Oui",T20*Poids_carte,0)</f>
        <v/>
      </c>
      <c r="W20" s="62">
        <f>IF($D20="Oui",T20*Poids_travaux,0)</f>
        <v/>
      </c>
      <c r="X20" s="62">
        <f>IF($E20="Oui",T20*Poids_participer,0)</f>
        <v/>
      </c>
      <c r="Y20" s="62">
        <f>IF($F20="Oui",T20*Poids_diagnostic,0)</f>
        <v/>
      </c>
      <c r="Z20" s="62">
        <f>IF($G20="Oui",T20*U20,0)</f>
        <v/>
      </c>
      <c r="AA20" s="62">
        <f>SUM(V20:Z20)</f>
        <v/>
      </c>
      <c r="AB20" s="64">
        <f>COUNTIF($C20:$G20,"Oui")</f>
        <v/>
      </c>
      <c r="AC20" s="65">
        <f>MIN(0.9,MAX(0,AB20-1)*Remise_par_module_ajoute)</f>
        <v/>
      </c>
      <c r="AD20" s="62">
        <f>MAX(V20:Z20)*AC20</f>
        <v/>
      </c>
      <c r="AE20" s="62">
        <f>AA20-AD20</f>
        <v/>
      </c>
      <c r="AF20" s="65">
        <f>IFERROR(VLOOKUP($H20,Table_engagements,3,FALSE),0)</f>
        <v/>
      </c>
      <c r="AG20" s="62">
        <f>AE20*AF20</f>
        <v/>
      </c>
      <c r="AH20" s="62">
        <f>AE20-AG20</f>
        <v/>
      </c>
      <c r="AI20" s="62">
        <f>AH20*12</f>
        <v/>
      </c>
      <c r="AJ20" s="62">
        <f>IF(S20&lt;Mise_en_service_offerte_sous,0,AH20*Mise_en_service_mois)</f>
        <v/>
      </c>
      <c r="AK20" s="62">
        <f>AJ20+AI20*IF(N($H20)&gt;0,$H20,1)</f>
        <v/>
      </c>
      <c r="AL20" s="66">
        <f>IF(AK20&gt;=Seuil_3,"Procédure formalisée",IF(AK20&gt;=Seuil_2,"Publicité obligatoire",IF(AK20&gt;=Seuil_1,"Procédure adaptée","Sous les seuils")))</f>
        <v/>
      </c>
      <c r="AN20" s="58">
        <f>MIN(Site_Population_maximum,MAX(Site_Population_minimum,ROUND($B20,0)))</f>
        <v/>
      </c>
      <c r="AO20" s="62">
        <f>Site_Prix_ancre*(AN20/Site_Population_ancre)^Site_Exposant</f>
        <v/>
      </c>
      <c r="AP20" s="63">
        <f>IF(AN20&lt;=Site_Chantiers_demi_poids_sous,Site_Poids_chantiers/2,IF(AN20&gt;=Site_Chantiers_plein_poids_des,Site_Poids_chantiers,Site_Poids_chantiers*(0.5+0.5*(LN(AN20)-LN(Site_Chantiers_demi_poids_sous))/(LN(Site_Chantiers_plein_poids_des)-LN(Site_Chantiers_demi_poids_sous)))))</f>
        <v/>
      </c>
      <c r="AQ20" s="62">
        <f>IF($C20="Oui",AO20*Site_Poids_carte,0)</f>
        <v/>
      </c>
      <c r="AR20" s="62">
        <f>IF($D20="Oui",AO20*Site_Poids_travaux,0)</f>
        <v/>
      </c>
      <c r="AS20" s="62">
        <f>IF($E20="Oui",AO20*Site_Poids_participer,0)</f>
        <v/>
      </c>
      <c r="AT20" s="62">
        <f>IF($F20="Oui",AO20*Site_Poids_diagnostic,0)</f>
        <v/>
      </c>
      <c r="AU20" s="62">
        <f>IF($G20="Oui",AO20*AP20,0)</f>
        <v/>
      </c>
      <c r="AV20" s="62">
        <f>SUM(AQ20:AU20)</f>
        <v/>
      </c>
      <c r="AW20" s="64">
        <f>COUNTIF($C20:$G20,"Oui")</f>
        <v/>
      </c>
      <c r="AX20" s="65">
        <f>MIN(0.9,MAX(0,AW20-1)*Site_Remise_par_module_ajoute)</f>
        <v/>
      </c>
      <c r="AY20" s="62">
        <f>MAX(AQ20:AU20)*AX20</f>
        <v/>
      </c>
      <c r="AZ20" s="62">
        <f>AV20-AY20</f>
        <v/>
      </c>
      <c r="BA20" s="65">
        <f>IFERROR(VLOOKUP($H20,Table_engagements,2,FALSE),0)</f>
        <v/>
      </c>
      <c r="BB20" s="62">
        <f>AZ20*BA20</f>
        <v/>
      </c>
      <c r="BC20" s="62">
        <f>AZ20-BB20</f>
        <v/>
      </c>
      <c r="BD20" s="62">
        <f>BC20*12</f>
        <v/>
      </c>
      <c r="BE20" s="62">
        <f>IF(AN20&lt;Site_Mise_en_service_offerte_sous,0,BC20*Site_Mise_en_service_mois)</f>
        <v/>
      </c>
      <c r="BF20" s="62">
        <f>BE20+BD20*IF(N($H20)&gt;0,$H20,1)</f>
        <v/>
      </c>
      <c r="BG20" s="66">
        <f>IF(BF20&gt;=Seuil_3,"Procédure formalisée",IF(BF20&gt;=Seuil_2,"Publicité obligatoire",IF(BF20&gt;=Seuil_1,"Procédure adaptée","Sous les seuils")))</f>
        <v/>
      </c>
    </row>
    <row r="21">
      <c r="A21" s="15" t="n"/>
      <c r="B21" s="14" t="n"/>
      <c r="C21" s="40" t="n"/>
      <c r="D21" s="40" t="n"/>
      <c r="E21" s="40" t="n"/>
      <c r="F21" s="40" t="n"/>
      <c r="G21" s="40" t="n"/>
      <c r="H21" s="41" t="n"/>
      <c r="I21" s="47">
        <f>IF($B21="","",AH21)</f>
        <v/>
      </c>
      <c r="J21" s="42">
        <f>IF($B21="","",AI21)</f>
        <v/>
      </c>
      <c r="K21" s="42">
        <f>IF($B21="","",AJ21)</f>
        <v/>
      </c>
      <c r="L21" s="47">
        <f>IF($B21="","",AK21)</f>
        <v/>
      </c>
      <c r="M21" s="67">
        <f>IF($B21="","",AL21)</f>
        <v/>
      </c>
      <c r="N21" s="16">
        <f>IF($B21="","",BC21)</f>
        <v/>
      </c>
      <c r="O21" s="16">
        <f>IF($B21="","",BF21)</f>
        <v/>
      </c>
      <c r="P21" s="43">
        <f>IF($B21="","",AH21-BC21)</f>
        <v/>
      </c>
      <c r="Q21" s="53">
        <f>IF(OR($B21="",BC21=0),"",AH21/BC21-1)</f>
        <v/>
      </c>
      <c r="S21" s="58">
        <f>MIN(Population_maximum,MAX(Population_minimum,ROUND($B21,0)))</f>
        <v/>
      </c>
      <c r="T21" s="62">
        <f>Prix_ancre*(S21/Population_ancre)^Exposant</f>
        <v/>
      </c>
      <c r="U21" s="63">
        <f>IF(S21&lt;=Chantiers_demi_poids_sous,Poids_chantiers/2,IF(S21&gt;=Chantiers_plein_poids_des,Poids_chantiers,Poids_chantiers*(0.5+0.5*(LN(S21)-LN(Chantiers_demi_poids_sous))/(LN(Chantiers_plein_poids_des)-LN(Chantiers_demi_poids_sous)))))</f>
        <v/>
      </c>
      <c r="V21" s="62">
        <f>IF($C21="Oui",T21*Poids_carte,0)</f>
        <v/>
      </c>
      <c r="W21" s="62">
        <f>IF($D21="Oui",T21*Poids_travaux,0)</f>
        <v/>
      </c>
      <c r="X21" s="62">
        <f>IF($E21="Oui",T21*Poids_participer,0)</f>
        <v/>
      </c>
      <c r="Y21" s="62">
        <f>IF($F21="Oui",T21*Poids_diagnostic,0)</f>
        <v/>
      </c>
      <c r="Z21" s="62">
        <f>IF($G21="Oui",T21*U21,0)</f>
        <v/>
      </c>
      <c r="AA21" s="62">
        <f>SUM(V21:Z21)</f>
        <v/>
      </c>
      <c r="AB21" s="64">
        <f>COUNTIF($C21:$G21,"Oui")</f>
        <v/>
      </c>
      <c r="AC21" s="65">
        <f>MIN(0.9,MAX(0,AB21-1)*Remise_par_module_ajoute)</f>
        <v/>
      </c>
      <c r="AD21" s="62">
        <f>MAX(V21:Z21)*AC21</f>
        <v/>
      </c>
      <c r="AE21" s="62">
        <f>AA21-AD21</f>
        <v/>
      </c>
      <c r="AF21" s="65">
        <f>IFERROR(VLOOKUP($H21,Table_engagements,3,FALSE),0)</f>
        <v/>
      </c>
      <c r="AG21" s="62">
        <f>AE21*AF21</f>
        <v/>
      </c>
      <c r="AH21" s="62">
        <f>AE21-AG21</f>
        <v/>
      </c>
      <c r="AI21" s="62">
        <f>AH21*12</f>
        <v/>
      </c>
      <c r="AJ21" s="62">
        <f>IF(S21&lt;Mise_en_service_offerte_sous,0,AH21*Mise_en_service_mois)</f>
        <v/>
      </c>
      <c r="AK21" s="62">
        <f>AJ21+AI21*IF(N($H21)&gt;0,$H21,1)</f>
        <v/>
      </c>
      <c r="AL21" s="66">
        <f>IF(AK21&gt;=Seuil_3,"Procédure formalisée",IF(AK21&gt;=Seuil_2,"Publicité obligatoire",IF(AK21&gt;=Seuil_1,"Procédure adaptée","Sous les seuils")))</f>
        <v/>
      </c>
      <c r="AN21" s="58">
        <f>MIN(Site_Population_maximum,MAX(Site_Population_minimum,ROUND($B21,0)))</f>
        <v/>
      </c>
      <c r="AO21" s="62">
        <f>Site_Prix_ancre*(AN21/Site_Population_ancre)^Site_Exposant</f>
        <v/>
      </c>
      <c r="AP21" s="63">
        <f>IF(AN21&lt;=Site_Chantiers_demi_poids_sous,Site_Poids_chantiers/2,IF(AN21&gt;=Site_Chantiers_plein_poids_des,Site_Poids_chantiers,Site_Poids_chantiers*(0.5+0.5*(LN(AN21)-LN(Site_Chantiers_demi_poids_sous))/(LN(Site_Chantiers_plein_poids_des)-LN(Site_Chantiers_demi_poids_sous)))))</f>
        <v/>
      </c>
      <c r="AQ21" s="62">
        <f>IF($C21="Oui",AO21*Site_Poids_carte,0)</f>
        <v/>
      </c>
      <c r="AR21" s="62">
        <f>IF($D21="Oui",AO21*Site_Poids_travaux,0)</f>
        <v/>
      </c>
      <c r="AS21" s="62">
        <f>IF($E21="Oui",AO21*Site_Poids_participer,0)</f>
        <v/>
      </c>
      <c r="AT21" s="62">
        <f>IF($F21="Oui",AO21*Site_Poids_diagnostic,0)</f>
        <v/>
      </c>
      <c r="AU21" s="62">
        <f>IF($G21="Oui",AO21*AP21,0)</f>
        <v/>
      </c>
      <c r="AV21" s="62">
        <f>SUM(AQ21:AU21)</f>
        <v/>
      </c>
      <c r="AW21" s="64">
        <f>COUNTIF($C21:$G21,"Oui")</f>
        <v/>
      </c>
      <c r="AX21" s="65">
        <f>MIN(0.9,MAX(0,AW21-1)*Site_Remise_par_module_ajoute)</f>
        <v/>
      </c>
      <c r="AY21" s="62">
        <f>MAX(AQ21:AU21)*AX21</f>
        <v/>
      </c>
      <c r="AZ21" s="62">
        <f>AV21-AY21</f>
        <v/>
      </c>
      <c r="BA21" s="65">
        <f>IFERROR(VLOOKUP($H21,Table_engagements,2,FALSE),0)</f>
        <v/>
      </c>
      <c r="BB21" s="62">
        <f>AZ21*BA21</f>
        <v/>
      </c>
      <c r="BC21" s="62">
        <f>AZ21-BB21</f>
        <v/>
      </c>
      <c r="BD21" s="62">
        <f>BC21*12</f>
        <v/>
      </c>
      <c r="BE21" s="62">
        <f>IF(AN21&lt;Site_Mise_en_service_offerte_sous,0,BC21*Site_Mise_en_service_mois)</f>
        <v/>
      </c>
      <c r="BF21" s="62">
        <f>BE21+BD21*IF(N($H21)&gt;0,$H21,1)</f>
        <v/>
      </c>
      <c r="BG21" s="66">
        <f>IF(BF21&gt;=Seuil_3,"Procédure formalisée",IF(BF21&gt;=Seuil_2,"Publicité obligatoire",IF(BF21&gt;=Seuil_1,"Procédure adaptée","Sous les seuils")))</f>
        <v/>
      </c>
    </row>
    <row r="22">
      <c r="A22" s="15" t="n"/>
      <c r="B22" s="14" t="n"/>
      <c r="C22" s="40" t="n"/>
      <c r="D22" s="40" t="n"/>
      <c r="E22" s="40" t="n"/>
      <c r="F22" s="40" t="n"/>
      <c r="G22" s="40" t="n"/>
      <c r="H22" s="41" t="n"/>
      <c r="I22" s="47">
        <f>IF($B22="","",AH22)</f>
        <v/>
      </c>
      <c r="J22" s="42">
        <f>IF($B22="","",AI22)</f>
        <v/>
      </c>
      <c r="K22" s="42">
        <f>IF($B22="","",AJ22)</f>
        <v/>
      </c>
      <c r="L22" s="47">
        <f>IF($B22="","",AK22)</f>
        <v/>
      </c>
      <c r="M22" s="67">
        <f>IF($B22="","",AL22)</f>
        <v/>
      </c>
      <c r="N22" s="16">
        <f>IF($B22="","",BC22)</f>
        <v/>
      </c>
      <c r="O22" s="16">
        <f>IF($B22="","",BF22)</f>
        <v/>
      </c>
      <c r="P22" s="43">
        <f>IF($B22="","",AH22-BC22)</f>
        <v/>
      </c>
      <c r="Q22" s="53">
        <f>IF(OR($B22="",BC22=0),"",AH22/BC22-1)</f>
        <v/>
      </c>
      <c r="S22" s="58">
        <f>MIN(Population_maximum,MAX(Population_minimum,ROUND($B22,0)))</f>
        <v/>
      </c>
      <c r="T22" s="62">
        <f>Prix_ancre*(S22/Population_ancre)^Exposant</f>
        <v/>
      </c>
      <c r="U22" s="63">
        <f>IF(S22&lt;=Chantiers_demi_poids_sous,Poids_chantiers/2,IF(S22&gt;=Chantiers_plein_poids_des,Poids_chantiers,Poids_chantiers*(0.5+0.5*(LN(S22)-LN(Chantiers_demi_poids_sous))/(LN(Chantiers_plein_poids_des)-LN(Chantiers_demi_poids_sous)))))</f>
        <v/>
      </c>
      <c r="V22" s="62">
        <f>IF($C22="Oui",T22*Poids_carte,0)</f>
        <v/>
      </c>
      <c r="W22" s="62">
        <f>IF($D22="Oui",T22*Poids_travaux,0)</f>
        <v/>
      </c>
      <c r="X22" s="62">
        <f>IF($E22="Oui",T22*Poids_participer,0)</f>
        <v/>
      </c>
      <c r="Y22" s="62">
        <f>IF($F22="Oui",T22*Poids_diagnostic,0)</f>
        <v/>
      </c>
      <c r="Z22" s="62">
        <f>IF($G22="Oui",T22*U22,0)</f>
        <v/>
      </c>
      <c r="AA22" s="62">
        <f>SUM(V22:Z22)</f>
        <v/>
      </c>
      <c r="AB22" s="64">
        <f>COUNTIF($C22:$G22,"Oui")</f>
        <v/>
      </c>
      <c r="AC22" s="65">
        <f>MIN(0.9,MAX(0,AB22-1)*Remise_par_module_ajoute)</f>
        <v/>
      </c>
      <c r="AD22" s="62">
        <f>MAX(V22:Z22)*AC22</f>
        <v/>
      </c>
      <c r="AE22" s="62">
        <f>AA22-AD22</f>
        <v/>
      </c>
      <c r="AF22" s="65">
        <f>IFERROR(VLOOKUP($H22,Table_engagements,3,FALSE),0)</f>
        <v/>
      </c>
      <c r="AG22" s="62">
        <f>AE22*AF22</f>
        <v/>
      </c>
      <c r="AH22" s="62">
        <f>AE22-AG22</f>
        <v/>
      </c>
      <c r="AI22" s="62">
        <f>AH22*12</f>
        <v/>
      </c>
      <c r="AJ22" s="62">
        <f>IF(S22&lt;Mise_en_service_offerte_sous,0,AH22*Mise_en_service_mois)</f>
        <v/>
      </c>
      <c r="AK22" s="62">
        <f>AJ22+AI22*IF(N($H22)&gt;0,$H22,1)</f>
        <v/>
      </c>
      <c r="AL22" s="66">
        <f>IF(AK22&gt;=Seuil_3,"Procédure formalisée",IF(AK22&gt;=Seuil_2,"Publicité obligatoire",IF(AK22&gt;=Seuil_1,"Procédure adaptée","Sous les seuils")))</f>
        <v/>
      </c>
      <c r="AN22" s="58">
        <f>MIN(Site_Population_maximum,MAX(Site_Population_minimum,ROUND($B22,0)))</f>
        <v/>
      </c>
      <c r="AO22" s="62">
        <f>Site_Prix_ancre*(AN22/Site_Population_ancre)^Site_Exposant</f>
        <v/>
      </c>
      <c r="AP22" s="63">
        <f>IF(AN22&lt;=Site_Chantiers_demi_poids_sous,Site_Poids_chantiers/2,IF(AN22&gt;=Site_Chantiers_plein_poids_des,Site_Poids_chantiers,Site_Poids_chantiers*(0.5+0.5*(LN(AN22)-LN(Site_Chantiers_demi_poids_sous))/(LN(Site_Chantiers_plein_poids_des)-LN(Site_Chantiers_demi_poids_sous)))))</f>
        <v/>
      </c>
      <c r="AQ22" s="62">
        <f>IF($C22="Oui",AO22*Site_Poids_carte,0)</f>
        <v/>
      </c>
      <c r="AR22" s="62">
        <f>IF($D22="Oui",AO22*Site_Poids_travaux,0)</f>
        <v/>
      </c>
      <c r="AS22" s="62">
        <f>IF($E22="Oui",AO22*Site_Poids_participer,0)</f>
        <v/>
      </c>
      <c r="AT22" s="62">
        <f>IF($F22="Oui",AO22*Site_Poids_diagnostic,0)</f>
        <v/>
      </c>
      <c r="AU22" s="62">
        <f>IF($G22="Oui",AO22*AP22,0)</f>
        <v/>
      </c>
      <c r="AV22" s="62">
        <f>SUM(AQ22:AU22)</f>
        <v/>
      </c>
      <c r="AW22" s="64">
        <f>COUNTIF($C22:$G22,"Oui")</f>
        <v/>
      </c>
      <c r="AX22" s="65">
        <f>MIN(0.9,MAX(0,AW22-1)*Site_Remise_par_module_ajoute)</f>
        <v/>
      </c>
      <c r="AY22" s="62">
        <f>MAX(AQ22:AU22)*AX22</f>
        <v/>
      </c>
      <c r="AZ22" s="62">
        <f>AV22-AY22</f>
        <v/>
      </c>
      <c r="BA22" s="65">
        <f>IFERROR(VLOOKUP($H22,Table_engagements,2,FALSE),0)</f>
        <v/>
      </c>
      <c r="BB22" s="62">
        <f>AZ22*BA22</f>
        <v/>
      </c>
      <c r="BC22" s="62">
        <f>AZ22-BB22</f>
        <v/>
      </c>
      <c r="BD22" s="62">
        <f>BC22*12</f>
        <v/>
      </c>
      <c r="BE22" s="62">
        <f>IF(AN22&lt;Site_Mise_en_service_offerte_sous,0,BC22*Site_Mise_en_service_mois)</f>
        <v/>
      </c>
      <c r="BF22" s="62">
        <f>BE22+BD22*IF(N($H22)&gt;0,$H22,1)</f>
        <v/>
      </c>
      <c r="BG22" s="66">
        <f>IF(BF22&gt;=Seuil_3,"Procédure formalisée",IF(BF22&gt;=Seuil_2,"Publicité obligatoire",IF(BF22&gt;=Seuil_1,"Procédure adaptée","Sous les seuils")))</f>
        <v/>
      </c>
    </row>
    <row r="23">
      <c r="A23" s="15" t="n"/>
      <c r="B23" s="14" t="n"/>
      <c r="C23" s="40" t="n"/>
      <c r="D23" s="40" t="n"/>
      <c r="E23" s="40" t="n"/>
      <c r="F23" s="40" t="n"/>
      <c r="G23" s="40" t="n"/>
      <c r="H23" s="41" t="n"/>
      <c r="I23" s="47">
        <f>IF($B23="","",AH23)</f>
        <v/>
      </c>
      <c r="J23" s="42">
        <f>IF($B23="","",AI23)</f>
        <v/>
      </c>
      <c r="K23" s="42">
        <f>IF($B23="","",AJ23)</f>
        <v/>
      </c>
      <c r="L23" s="47">
        <f>IF($B23="","",AK23)</f>
        <v/>
      </c>
      <c r="M23" s="67">
        <f>IF($B23="","",AL23)</f>
        <v/>
      </c>
      <c r="N23" s="16">
        <f>IF($B23="","",BC23)</f>
        <v/>
      </c>
      <c r="O23" s="16">
        <f>IF($B23="","",BF23)</f>
        <v/>
      </c>
      <c r="P23" s="43">
        <f>IF($B23="","",AH23-BC23)</f>
        <v/>
      </c>
      <c r="Q23" s="53">
        <f>IF(OR($B23="",BC23=0),"",AH23/BC23-1)</f>
        <v/>
      </c>
      <c r="S23" s="58">
        <f>MIN(Population_maximum,MAX(Population_minimum,ROUND($B23,0)))</f>
        <v/>
      </c>
      <c r="T23" s="62">
        <f>Prix_ancre*(S23/Population_ancre)^Exposant</f>
        <v/>
      </c>
      <c r="U23" s="63">
        <f>IF(S23&lt;=Chantiers_demi_poids_sous,Poids_chantiers/2,IF(S23&gt;=Chantiers_plein_poids_des,Poids_chantiers,Poids_chantiers*(0.5+0.5*(LN(S23)-LN(Chantiers_demi_poids_sous))/(LN(Chantiers_plein_poids_des)-LN(Chantiers_demi_poids_sous)))))</f>
        <v/>
      </c>
      <c r="V23" s="62">
        <f>IF($C23="Oui",T23*Poids_carte,0)</f>
        <v/>
      </c>
      <c r="W23" s="62">
        <f>IF($D23="Oui",T23*Poids_travaux,0)</f>
        <v/>
      </c>
      <c r="X23" s="62">
        <f>IF($E23="Oui",T23*Poids_participer,0)</f>
        <v/>
      </c>
      <c r="Y23" s="62">
        <f>IF($F23="Oui",T23*Poids_diagnostic,0)</f>
        <v/>
      </c>
      <c r="Z23" s="62">
        <f>IF($G23="Oui",T23*U23,0)</f>
        <v/>
      </c>
      <c r="AA23" s="62">
        <f>SUM(V23:Z23)</f>
        <v/>
      </c>
      <c r="AB23" s="64">
        <f>COUNTIF($C23:$G23,"Oui")</f>
        <v/>
      </c>
      <c r="AC23" s="65">
        <f>MIN(0.9,MAX(0,AB23-1)*Remise_par_module_ajoute)</f>
        <v/>
      </c>
      <c r="AD23" s="62">
        <f>MAX(V23:Z23)*AC23</f>
        <v/>
      </c>
      <c r="AE23" s="62">
        <f>AA23-AD23</f>
        <v/>
      </c>
      <c r="AF23" s="65">
        <f>IFERROR(VLOOKUP($H23,Table_engagements,3,FALSE),0)</f>
        <v/>
      </c>
      <c r="AG23" s="62">
        <f>AE23*AF23</f>
        <v/>
      </c>
      <c r="AH23" s="62">
        <f>AE23-AG23</f>
        <v/>
      </c>
      <c r="AI23" s="62">
        <f>AH23*12</f>
        <v/>
      </c>
      <c r="AJ23" s="62">
        <f>IF(S23&lt;Mise_en_service_offerte_sous,0,AH23*Mise_en_service_mois)</f>
        <v/>
      </c>
      <c r="AK23" s="62">
        <f>AJ23+AI23*IF(N($H23)&gt;0,$H23,1)</f>
        <v/>
      </c>
      <c r="AL23" s="66">
        <f>IF(AK23&gt;=Seuil_3,"Procédure formalisée",IF(AK23&gt;=Seuil_2,"Publicité obligatoire",IF(AK23&gt;=Seuil_1,"Procédure adaptée","Sous les seuils")))</f>
        <v/>
      </c>
      <c r="AN23" s="58">
        <f>MIN(Site_Population_maximum,MAX(Site_Population_minimum,ROUND($B23,0)))</f>
        <v/>
      </c>
      <c r="AO23" s="62">
        <f>Site_Prix_ancre*(AN23/Site_Population_ancre)^Site_Exposant</f>
        <v/>
      </c>
      <c r="AP23" s="63">
        <f>IF(AN23&lt;=Site_Chantiers_demi_poids_sous,Site_Poids_chantiers/2,IF(AN23&gt;=Site_Chantiers_plein_poids_des,Site_Poids_chantiers,Site_Poids_chantiers*(0.5+0.5*(LN(AN23)-LN(Site_Chantiers_demi_poids_sous))/(LN(Site_Chantiers_plein_poids_des)-LN(Site_Chantiers_demi_poids_sous)))))</f>
        <v/>
      </c>
      <c r="AQ23" s="62">
        <f>IF($C23="Oui",AO23*Site_Poids_carte,0)</f>
        <v/>
      </c>
      <c r="AR23" s="62">
        <f>IF($D23="Oui",AO23*Site_Poids_travaux,0)</f>
        <v/>
      </c>
      <c r="AS23" s="62">
        <f>IF($E23="Oui",AO23*Site_Poids_participer,0)</f>
        <v/>
      </c>
      <c r="AT23" s="62">
        <f>IF($F23="Oui",AO23*Site_Poids_diagnostic,0)</f>
        <v/>
      </c>
      <c r="AU23" s="62">
        <f>IF($G23="Oui",AO23*AP23,0)</f>
        <v/>
      </c>
      <c r="AV23" s="62">
        <f>SUM(AQ23:AU23)</f>
        <v/>
      </c>
      <c r="AW23" s="64">
        <f>COUNTIF($C23:$G23,"Oui")</f>
        <v/>
      </c>
      <c r="AX23" s="65">
        <f>MIN(0.9,MAX(0,AW23-1)*Site_Remise_par_module_ajoute)</f>
        <v/>
      </c>
      <c r="AY23" s="62">
        <f>MAX(AQ23:AU23)*AX23</f>
        <v/>
      </c>
      <c r="AZ23" s="62">
        <f>AV23-AY23</f>
        <v/>
      </c>
      <c r="BA23" s="65">
        <f>IFERROR(VLOOKUP($H23,Table_engagements,2,FALSE),0)</f>
        <v/>
      </c>
      <c r="BB23" s="62">
        <f>AZ23*BA23</f>
        <v/>
      </c>
      <c r="BC23" s="62">
        <f>AZ23-BB23</f>
        <v/>
      </c>
      <c r="BD23" s="62">
        <f>BC23*12</f>
        <v/>
      </c>
      <c r="BE23" s="62">
        <f>IF(AN23&lt;Site_Mise_en_service_offerte_sous,0,BC23*Site_Mise_en_service_mois)</f>
        <v/>
      </c>
      <c r="BF23" s="62">
        <f>BE23+BD23*IF(N($H23)&gt;0,$H23,1)</f>
        <v/>
      </c>
      <c r="BG23" s="66">
        <f>IF(BF23&gt;=Seuil_3,"Procédure formalisée",IF(BF23&gt;=Seuil_2,"Publicité obligatoire",IF(BF23&gt;=Seuil_1,"Procédure adaptée","Sous les seuils")))</f>
        <v/>
      </c>
    </row>
    <row r="24">
      <c r="A24" s="15" t="n"/>
      <c r="B24" s="14" t="n"/>
      <c r="C24" s="40" t="n"/>
      <c r="D24" s="40" t="n"/>
      <c r="E24" s="40" t="n"/>
      <c r="F24" s="40" t="n"/>
      <c r="G24" s="40" t="n"/>
      <c r="H24" s="41" t="n"/>
      <c r="I24" s="47">
        <f>IF($B24="","",AH24)</f>
        <v/>
      </c>
      <c r="J24" s="42">
        <f>IF($B24="","",AI24)</f>
        <v/>
      </c>
      <c r="K24" s="42">
        <f>IF($B24="","",AJ24)</f>
        <v/>
      </c>
      <c r="L24" s="47">
        <f>IF($B24="","",AK24)</f>
        <v/>
      </c>
      <c r="M24" s="67">
        <f>IF($B24="","",AL24)</f>
        <v/>
      </c>
      <c r="N24" s="16">
        <f>IF($B24="","",BC24)</f>
        <v/>
      </c>
      <c r="O24" s="16">
        <f>IF($B24="","",BF24)</f>
        <v/>
      </c>
      <c r="P24" s="43">
        <f>IF($B24="","",AH24-BC24)</f>
        <v/>
      </c>
      <c r="Q24" s="53">
        <f>IF(OR($B24="",BC24=0),"",AH24/BC24-1)</f>
        <v/>
      </c>
      <c r="S24" s="58">
        <f>MIN(Population_maximum,MAX(Population_minimum,ROUND($B24,0)))</f>
        <v/>
      </c>
      <c r="T24" s="62">
        <f>Prix_ancre*(S24/Population_ancre)^Exposant</f>
        <v/>
      </c>
      <c r="U24" s="63">
        <f>IF(S24&lt;=Chantiers_demi_poids_sous,Poids_chantiers/2,IF(S24&gt;=Chantiers_plein_poids_des,Poids_chantiers,Poids_chantiers*(0.5+0.5*(LN(S24)-LN(Chantiers_demi_poids_sous))/(LN(Chantiers_plein_poids_des)-LN(Chantiers_demi_poids_sous)))))</f>
        <v/>
      </c>
      <c r="V24" s="62">
        <f>IF($C24="Oui",T24*Poids_carte,0)</f>
        <v/>
      </c>
      <c r="W24" s="62">
        <f>IF($D24="Oui",T24*Poids_travaux,0)</f>
        <v/>
      </c>
      <c r="X24" s="62">
        <f>IF($E24="Oui",T24*Poids_participer,0)</f>
        <v/>
      </c>
      <c r="Y24" s="62">
        <f>IF($F24="Oui",T24*Poids_diagnostic,0)</f>
        <v/>
      </c>
      <c r="Z24" s="62">
        <f>IF($G24="Oui",T24*U24,0)</f>
        <v/>
      </c>
      <c r="AA24" s="62">
        <f>SUM(V24:Z24)</f>
        <v/>
      </c>
      <c r="AB24" s="64">
        <f>COUNTIF($C24:$G24,"Oui")</f>
        <v/>
      </c>
      <c r="AC24" s="65">
        <f>MIN(0.9,MAX(0,AB24-1)*Remise_par_module_ajoute)</f>
        <v/>
      </c>
      <c r="AD24" s="62">
        <f>MAX(V24:Z24)*AC24</f>
        <v/>
      </c>
      <c r="AE24" s="62">
        <f>AA24-AD24</f>
        <v/>
      </c>
      <c r="AF24" s="65">
        <f>IFERROR(VLOOKUP($H24,Table_engagements,3,FALSE),0)</f>
        <v/>
      </c>
      <c r="AG24" s="62">
        <f>AE24*AF24</f>
        <v/>
      </c>
      <c r="AH24" s="62">
        <f>AE24-AG24</f>
        <v/>
      </c>
      <c r="AI24" s="62">
        <f>AH24*12</f>
        <v/>
      </c>
      <c r="AJ24" s="62">
        <f>IF(S24&lt;Mise_en_service_offerte_sous,0,AH24*Mise_en_service_mois)</f>
        <v/>
      </c>
      <c r="AK24" s="62">
        <f>AJ24+AI24*IF(N($H24)&gt;0,$H24,1)</f>
        <v/>
      </c>
      <c r="AL24" s="66">
        <f>IF(AK24&gt;=Seuil_3,"Procédure formalisée",IF(AK24&gt;=Seuil_2,"Publicité obligatoire",IF(AK24&gt;=Seuil_1,"Procédure adaptée","Sous les seuils")))</f>
        <v/>
      </c>
      <c r="AN24" s="58">
        <f>MIN(Site_Population_maximum,MAX(Site_Population_minimum,ROUND($B24,0)))</f>
        <v/>
      </c>
      <c r="AO24" s="62">
        <f>Site_Prix_ancre*(AN24/Site_Population_ancre)^Site_Exposant</f>
        <v/>
      </c>
      <c r="AP24" s="63">
        <f>IF(AN24&lt;=Site_Chantiers_demi_poids_sous,Site_Poids_chantiers/2,IF(AN24&gt;=Site_Chantiers_plein_poids_des,Site_Poids_chantiers,Site_Poids_chantiers*(0.5+0.5*(LN(AN24)-LN(Site_Chantiers_demi_poids_sous))/(LN(Site_Chantiers_plein_poids_des)-LN(Site_Chantiers_demi_poids_sous)))))</f>
        <v/>
      </c>
      <c r="AQ24" s="62">
        <f>IF($C24="Oui",AO24*Site_Poids_carte,0)</f>
        <v/>
      </c>
      <c r="AR24" s="62">
        <f>IF($D24="Oui",AO24*Site_Poids_travaux,0)</f>
        <v/>
      </c>
      <c r="AS24" s="62">
        <f>IF($E24="Oui",AO24*Site_Poids_participer,0)</f>
        <v/>
      </c>
      <c r="AT24" s="62">
        <f>IF($F24="Oui",AO24*Site_Poids_diagnostic,0)</f>
        <v/>
      </c>
      <c r="AU24" s="62">
        <f>IF($G24="Oui",AO24*AP24,0)</f>
        <v/>
      </c>
      <c r="AV24" s="62">
        <f>SUM(AQ24:AU24)</f>
        <v/>
      </c>
      <c r="AW24" s="64">
        <f>COUNTIF($C24:$G24,"Oui")</f>
        <v/>
      </c>
      <c r="AX24" s="65">
        <f>MIN(0.9,MAX(0,AW24-1)*Site_Remise_par_module_ajoute)</f>
        <v/>
      </c>
      <c r="AY24" s="62">
        <f>MAX(AQ24:AU24)*AX24</f>
        <v/>
      </c>
      <c r="AZ24" s="62">
        <f>AV24-AY24</f>
        <v/>
      </c>
      <c r="BA24" s="65">
        <f>IFERROR(VLOOKUP($H24,Table_engagements,2,FALSE),0)</f>
        <v/>
      </c>
      <c r="BB24" s="62">
        <f>AZ24*BA24</f>
        <v/>
      </c>
      <c r="BC24" s="62">
        <f>AZ24-BB24</f>
        <v/>
      </c>
      <c r="BD24" s="62">
        <f>BC24*12</f>
        <v/>
      </c>
      <c r="BE24" s="62">
        <f>IF(AN24&lt;Site_Mise_en_service_offerte_sous,0,BC24*Site_Mise_en_service_mois)</f>
        <v/>
      </c>
      <c r="BF24" s="62">
        <f>BE24+BD24*IF(N($H24)&gt;0,$H24,1)</f>
        <v/>
      </c>
      <c r="BG24" s="66">
        <f>IF(BF24&gt;=Seuil_3,"Procédure formalisée",IF(BF24&gt;=Seuil_2,"Publicité obligatoire",IF(BF24&gt;=Seuil_1,"Procédure adaptée","Sous les seuils")))</f>
        <v/>
      </c>
    </row>
  </sheetData>
  <sheetProtection selectLockedCells="0" selectUnlockedCells="0" sheet="1" objects="0" insertRows="1" insertHyperlinks="1" autoFilter="0" scenarios="0" formatColumns="0" deleteColumns="1" insertColumns="1" pivotTables="1" deleteRows="1" formatCells="1" formatRows="0" sort="0"/>
  <mergeCells count="1">
    <mergeCell ref="A2:Q2"/>
  </mergeCells>
  <conditionalFormatting sqref="P5:Q24">
    <cfRule type="cellIs" priority="1" operator="greaterThan" dxfId="0">
      <formula>0</formula>
    </cfRule>
    <cfRule type="cellIs" priority="2" operator="lessThan" dxfId="1">
      <formula>0</formula>
    </cfRule>
  </conditionalFormatting>
  <dataValidations count="2">
    <dataValidation sqref="C5 C6 C7 C8 C9 C10 C11 C12 C13 C14 C15 C16 C17 C18 C19 C20 C21 C22 C23 C24 D5 D6 D7 D8 D9 D10 D11 D12 D13 D14 D15 D16 D17 D18 D19 D20 D21 D22 D23 D24 E5 E6 E7 E8 E9 E10 E11 E12 E13 E14 E15 E16 E17 E18 E19 E20 E21 E22 E23 E24 F5 F6 F7 F8 F9 F10 F11 F12 F13 F14 F15 F16 F17 F18 F19 F20 F21 F22 F23 F24 G5 G6 G7 G8 G9 G10 G11 G12 G13 G14 G15 G16 G17 G18 G19 G20 G21 G22 G23 G24" showDropDown="0" showInputMessage="0" showErrorMessage="0" allowBlank="1" type="list">
      <formula1>"Oui,Non"</formula1>
    </dataValidation>
    <dataValidation sqref="H5 H6 H7 H8 H9 H10 H11 H12 H13 H14 H15 H16 H17 H18 H19 H20 H21 H22 H23 H24" showDropDown="0" showInputMessage="0" showErrorMessage="0" allowBlank="1" type="list">
      <formula1>"1,2,3,4"</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2026-09-09T12:44:20Z</dcterms:created>
  <dcterms:modified xmlns:dcterms="http://purl.org/dc/terms/" xmlns:xsi="http://www.w3.org/2001/XMLSchema-instance" xsi:type="dcterms:W3CDTF">2026-09-09T12:44:20Z</dcterms:modified>
</cp:coreProperties>
</file>